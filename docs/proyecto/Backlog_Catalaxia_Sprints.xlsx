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o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589"/>
      <sz val="10"/>
    </font>
    <font>
      <name val="Calibri"/>
      <b val="1"/>
      <color rgb="00FFFFFF"/>
      <sz val="10"/>
    </font>
    <font>
      <name val="Calibri"/>
      <color rgb="003A4458"/>
      <sz val="9.5"/>
    </font>
    <font>
      <name val="Calibri"/>
      <b val="1"/>
      <color rgb="001A4D8F"/>
      <sz val="9.5"/>
    </font>
    <font>
      <name val="Calibri"/>
      <b val="1"/>
      <color rgb="001A2744"/>
      <sz val="10"/>
    </font>
    <font>
      <name val="Calibri"/>
      <b val="1"/>
      <color rgb="0043A047"/>
      <sz val="9.5"/>
    </font>
    <font>
      <name val="Calibri"/>
      <b val="1"/>
      <color rgb="003B82F6"/>
      <sz val="9.5"/>
    </font>
    <font>
      <name val="Calibri"/>
      <b val="1"/>
      <color rgb="00F5821F"/>
      <sz val="9.5"/>
    </font>
    <font>
      <name val="Calibri"/>
      <b val="1"/>
      <color rgb="00FFFFFF"/>
      <sz val="11"/>
    </font>
    <font>
      <name val="Calibri"/>
      <b val="1"/>
      <color rgb="00F5821F"/>
      <sz val="11"/>
    </font>
    <font>
      <name val="Calibri"/>
      <b val="1"/>
      <color rgb="00FFFFFF"/>
      <sz val="16"/>
    </font>
    <font>
      <name val="Calibri"/>
      <i val="1"/>
      <color rgb="006B7589"/>
      <sz val="10.5"/>
    </font>
    <font>
      <name val="Calibri"/>
      <b val="1"/>
      <color rgb="001A2744"/>
      <sz val="22"/>
    </font>
    <font>
      <name val="Calibri"/>
      <color rgb="006B7589"/>
      <sz val="9"/>
    </font>
    <font>
      <name val="Calibri"/>
      <b val="1"/>
      <color rgb="00F5821F"/>
      <sz val="22"/>
    </font>
    <font>
      <name val="Calibri"/>
      <color rgb="006B7589"/>
      <sz val="8.5"/>
    </font>
    <font>
      <name val="Calibri"/>
      <b val="1"/>
      <color rgb="001A2744"/>
      <sz val="11"/>
    </font>
    <font>
      <name val="Calibri"/>
      <b val="1"/>
      <color rgb="00FFFFFF"/>
      <sz val="9.5"/>
    </font>
    <font>
      <name val="Calibri"/>
      <b val="1"/>
      <color rgb="001A2744"/>
      <sz val="9.5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4F8FE"/>
      </patternFill>
    </fill>
    <fill>
      <patternFill patternType="solid">
        <fgColor rgb="00DCEAFF"/>
      </patternFill>
    </fill>
  </fills>
  <borders count="2">
    <border>
      <left/>
      <right/>
      <top/>
      <bottom/>
      <diagonal/>
    </border>
    <border>
      <left style="thin">
        <color rgb="00D6E2F2"/>
      </left>
      <right style="thin">
        <color rgb="00D6E2F2"/>
      </right>
      <top style="thin">
        <color rgb="00D6E2F2"/>
      </top>
      <bottom style="thin">
        <color rgb="00D6E2F2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5" fillId="4" borderId="1" applyAlignment="1" pivotButton="0" quotePrefix="0" xfId="0">
      <alignment horizontal="center" vertical="center" wrapText="1"/>
    </xf>
    <xf numFmtId="9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9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b val="1"/>
        <color rgb="0043A047"/>
        <sz val="9.5"/>
      </font>
    </dxf>
    <dxf>
      <font>
        <name val="Calibri"/>
        <b val="1"/>
        <color rgb="003B82F6"/>
        <sz val="9.5"/>
      </font>
    </dxf>
    <dxf>
      <font>
        <name val="Calibri"/>
        <b val="1"/>
        <color rgb="00F5821F"/>
        <sz val="9.5"/>
      </font>
    </dxf>
    <dxf>
      <font>
        <name val="Calibri"/>
        <b val="1"/>
        <color rgb="00C0392B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12" customWidth="1" min="4" max="4"/>
    <col width="12" customWidth="1" min="5" max="5"/>
    <col width="14" customWidth="1" min="6" max="6"/>
  </cols>
  <sheetData>
    <row r="1" ht="34" customHeight="1">
      <c r="A1" s="1" t="inlineStr">
        <is>
          <t>PROYECTO CATALAXIA · TABLERO DE PROGRESO</t>
        </is>
      </c>
    </row>
    <row r="2">
      <c r="A2" s="2" t="inlineStr">
        <is>
          <t>Screener AR + US · 34 tareas · 108 puntos · 4 sprints (un sábado por sprint)</t>
        </is>
      </c>
    </row>
    <row r="4">
      <c r="A4" s="3" t="inlineStr">
        <is>
          <t>34</t>
        </is>
      </c>
      <c r="B4" s="3" t="inlineStr">
        <is>
          <t>108</t>
        </is>
      </c>
      <c r="C4" s="3" t="inlineStr">
        <is>
          <t>4</t>
        </is>
      </c>
      <c r="D4" s="3" t="inlineStr">
        <is>
          <t>4</t>
        </is>
      </c>
      <c r="E4" s="4" t="inlineStr">
        <is>
          <t>Progreso global</t>
        </is>
      </c>
    </row>
    <row r="5">
      <c r="A5" s="5" t="inlineStr">
        <is>
          <t>Tareas</t>
        </is>
      </c>
      <c r="B5" s="5" t="inlineStr">
        <is>
          <t>Puntos</t>
        </is>
      </c>
      <c r="C5" s="5" t="inlineStr">
        <is>
          <t>Sprints</t>
        </is>
      </c>
      <c r="D5" s="5" t="inlineStr">
        <is>
          <t>Equipo</t>
        </is>
      </c>
      <c r="E5" s="6">
        <f>('Sprint 1'!H15+'Sprint 2'!H11+'Sprint 3'!H13+'Sprint 4'!H11)/108</f>
        <v/>
      </c>
    </row>
    <row r="6">
      <c r="E6" s="7" t="inlineStr">
        <is>
          <t>pts hechos / 108</t>
        </is>
      </c>
    </row>
    <row r="8">
      <c r="A8" s="8" t="inlineStr">
        <is>
          <t>POR SPRINT</t>
        </is>
      </c>
    </row>
    <row r="9">
      <c r="A9" s="9" t="inlineStr">
        <is>
          <t>Sprint</t>
        </is>
      </c>
      <c r="B9" s="9" t="inlineStr">
        <is>
          <t>Semana</t>
        </is>
      </c>
      <c r="C9" s="9" t="inlineStr">
        <is>
          <t>Objetivo (resumen)</t>
        </is>
      </c>
      <c r="D9" s="9" t="inlineStr">
        <is>
          <t>Puntos</t>
        </is>
      </c>
      <c r="E9" s="9" t="inlineStr">
        <is>
          <t>Pts ✓</t>
        </is>
      </c>
      <c r="F9" s="9" t="inlineStr">
        <is>
          <t>%</t>
        </is>
      </c>
    </row>
    <row r="10">
      <c r="A10" s="10" t="inlineStr">
        <is>
          <t>Sprint 1</t>
        </is>
      </c>
      <c r="B10" s="11" t="inlineStr">
        <is>
          <t>Sem 1</t>
        </is>
      </c>
      <c r="C10" s="12" t="inlineStr">
        <is>
          <t>Fundamentos</t>
        </is>
      </c>
      <c r="D10" s="13">
        <f>'Sprint 1'!F15</f>
        <v/>
      </c>
      <c r="E10" s="14">
        <f>'Sprint 1'!H15</f>
        <v/>
      </c>
      <c r="F10" s="15">
        <f>'Sprint 1'!H15/'Sprint 1'!F15</f>
        <v/>
      </c>
    </row>
    <row r="11">
      <c r="A11" s="16" t="inlineStr">
        <is>
          <t>Sprint 2</t>
        </is>
      </c>
      <c r="B11" s="11" t="inlineStr">
        <is>
          <t>Sem 2</t>
        </is>
      </c>
      <c r="C11" s="12" t="inlineStr">
        <is>
          <t>Datos reales</t>
        </is>
      </c>
      <c r="D11" s="13">
        <f>'Sprint 2'!F11</f>
        <v/>
      </c>
      <c r="E11" s="14">
        <f>'Sprint 2'!H11</f>
        <v/>
      </c>
      <c r="F11" s="15">
        <f>'Sprint 2'!H11/'Sprint 2'!F11</f>
        <v/>
      </c>
    </row>
    <row r="12">
      <c r="A12" s="17" t="inlineStr">
        <is>
          <t>Sprint 3</t>
        </is>
      </c>
      <c r="B12" s="11" t="inlineStr">
        <is>
          <t>Sem 3</t>
        </is>
      </c>
      <c r="C12" s="12" t="inlineStr">
        <is>
          <t>Funcionalidad</t>
        </is>
      </c>
      <c r="D12" s="13">
        <f>'Sprint 3'!F13</f>
        <v/>
      </c>
      <c r="E12" s="14">
        <f>'Sprint 3'!H13</f>
        <v/>
      </c>
      <c r="F12" s="15">
        <f>'Sprint 3'!H13/'Sprint 3'!F13</f>
        <v/>
      </c>
    </row>
    <row r="13">
      <c r="A13" s="18" t="inlineStr">
        <is>
          <t>Sprint 4</t>
        </is>
      </c>
      <c r="B13" s="11" t="inlineStr">
        <is>
          <t>Sem 4</t>
        </is>
      </c>
      <c r="C13" s="12" t="inlineStr">
        <is>
          <t>QA + entrega</t>
        </is>
      </c>
      <c r="D13" s="13">
        <f>'Sprint 4'!F11</f>
        <v/>
      </c>
      <c r="E13" s="14">
        <f>'Sprint 4'!H11</f>
        <v/>
      </c>
      <c r="F13" s="15">
        <f>'Sprint 4'!H11/'Sprint 4'!F11</f>
        <v/>
      </c>
    </row>
    <row r="15">
      <c r="A15" s="8" t="inlineStr">
        <is>
          <t>POR RESPONSABLE</t>
        </is>
      </c>
    </row>
    <row r="16">
      <c r="A16" s="9" t="inlineStr">
        <is>
          <t>Responsable</t>
        </is>
      </c>
      <c r="B16" s="9" t="inlineStr">
        <is>
          <t>Rol</t>
        </is>
      </c>
      <c r="C16" s="9" t="inlineStr"/>
      <c r="D16" s="9" t="inlineStr">
        <is>
          <t>Puntos</t>
        </is>
      </c>
      <c r="E16" s="9" t="inlineStr">
        <is>
          <t>Pts ✓</t>
        </is>
      </c>
      <c r="F16" s="9" t="inlineStr">
        <is>
          <t>%</t>
        </is>
      </c>
    </row>
    <row r="17">
      <c r="A17" s="18" t="inlineStr">
        <is>
          <t>Federico</t>
        </is>
      </c>
      <c r="B17" s="19" t="inlineStr">
        <is>
          <t>Tech Lead · Infra · Datos · QA</t>
        </is>
      </c>
      <c r="C17" s="20" t="n"/>
      <c r="D17" s="13">
        <f>SUMIF('Sprint 1'!D:D,"Federico",'Sprint 1'!F:F)+SUMIF('Sprint 2'!D:D,"Federico",'Sprint 2'!F:F)+SUMIF('Sprint 3'!D:D,"Federico",'Sprint 3'!F:F)+SUMIF('Sprint 4'!D:D,"Federico",'Sprint 4'!F:F)</f>
        <v/>
      </c>
      <c r="E17" s="14">
        <f>SUMIF('Sprint 1'!D:D,"Federico",'Sprint 1'!H:H)+SUMIF('Sprint 2'!D:D,"Federico",'Sprint 2'!H:H)+SUMIF('Sprint 3'!D:D,"Federico",'Sprint 3'!H:H)+SUMIF('Sprint 4'!D:D,"Federico",'Sprint 4'!H:H)</f>
        <v/>
      </c>
      <c r="F17" s="15">
        <f>IF(D17=0,0,E17/D17)</f>
        <v/>
      </c>
    </row>
    <row r="18">
      <c r="A18" s="10" t="inlineStr">
        <is>
          <t>Mateo</t>
        </is>
      </c>
      <c r="B18" s="19" t="inlineStr">
        <is>
          <t>Backend · Jobs</t>
        </is>
      </c>
      <c r="C18" s="20" t="n"/>
      <c r="D18" s="13">
        <f>SUMIF('Sprint 1'!D:D,"Mateo",'Sprint 1'!F:F)+SUMIF('Sprint 2'!D:D,"Mateo",'Sprint 2'!F:F)+SUMIF('Sprint 3'!D:D,"Mateo",'Sprint 3'!F:F)+SUMIF('Sprint 4'!D:D,"Mateo",'Sprint 4'!F:F)</f>
        <v/>
      </c>
      <c r="E18" s="14">
        <f>SUMIF('Sprint 1'!D:D,"Mateo",'Sprint 1'!H:H)+SUMIF('Sprint 2'!D:D,"Mateo",'Sprint 2'!H:H)+SUMIF('Sprint 3'!D:D,"Mateo",'Sprint 3'!H:H)+SUMIF('Sprint 4'!D:D,"Mateo",'Sprint 4'!H:H)</f>
        <v/>
      </c>
      <c r="F18" s="15">
        <f>IF(D18=0,0,E18/D18)</f>
        <v/>
      </c>
    </row>
    <row r="19">
      <c r="A19" s="16" t="inlineStr">
        <is>
          <t>Joaquín</t>
        </is>
      </c>
      <c r="B19" s="19" t="inlineStr">
        <is>
          <t>Frontend Screener</t>
        </is>
      </c>
      <c r="C19" s="20" t="n"/>
      <c r="D19" s="13">
        <f>SUMIF('Sprint 1'!D:D,"Joaquín",'Sprint 1'!F:F)+SUMIF('Sprint 2'!D:D,"Joaquín",'Sprint 2'!F:F)+SUMIF('Sprint 3'!D:D,"Joaquín",'Sprint 3'!F:F)+SUMIF('Sprint 4'!D:D,"Joaquín",'Sprint 4'!F:F)</f>
        <v/>
      </c>
      <c r="E19" s="14">
        <f>SUMIF('Sprint 1'!D:D,"Joaquín",'Sprint 1'!H:H)+SUMIF('Sprint 2'!D:D,"Joaquín",'Sprint 2'!H:H)+SUMIF('Sprint 3'!D:D,"Joaquín",'Sprint 3'!H:H)+SUMIF('Sprint 4'!D:D,"Joaquín",'Sprint 4'!H:H)</f>
        <v/>
      </c>
      <c r="F19" s="15">
        <f>IF(D19=0,0,E19/D19)</f>
        <v/>
      </c>
    </row>
    <row r="20">
      <c r="A20" s="17" t="inlineStr">
        <is>
          <t>Aldana</t>
        </is>
      </c>
      <c r="B20" s="19" t="inlineStr">
        <is>
          <t>Frontend Detalle</t>
        </is>
      </c>
      <c r="C20" s="20" t="n"/>
      <c r="D20" s="13">
        <f>SUMIF('Sprint 1'!D:D,"Aldana",'Sprint 1'!F:F)+SUMIF('Sprint 2'!D:D,"Aldana",'Sprint 2'!F:F)+SUMIF('Sprint 3'!D:D,"Aldana",'Sprint 3'!F:F)+SUMIF('Sprint 4'!D:D,"Aldana",'Sprint 4'!F:F)</f>
        <v/>
      </c>
      <c r="E20" s="14">
        <f>SUMIF('Sprint 1'!D:D,"Aldana",'Sprint 1'!H:H)+SUMIF('Sprint 2'!D:D,"Aldana",'Sprint 2'!H:H)+SUMIF('Sprint 3'!D:D,"Aldana",'Sprint 3'!H:H)+SUMIF('Sprint 4'!D:D,"Aldana",'Sprint 4'!H:H)</f>
        <v/>
      </c>
      <c r="F20" s="15">
        <f>IF(D20=0,0,E20/D20)</f>
        <v/>
      </c>
    </row>
    <row r="22">
      <c r="A22" s="8" t="inlineStr">
        <is>
          <t>POR ÉPICA</t>
        </is>
      </c>
    </row>
    <row r="23">
      <c r="A23" s="9" t="inlineStr">
        <is>
          <t>Épica</t>
        </is>
      </c>
      <c r="B23" s="9" t="inlineStr"/>
      <c r="C23" s="9" t="inlineStr"/>
      <c r="D23" s="9" t="inlineStr">
        <is>
          <t>Puntos</t>
        </is>
      </c>
      <c r="E23" s="9" t="inlineStr">
        <is>
          <t>Pts ✓</t>
        </is>
      </c>
      <c r="F23" s="9" t="inlineStr">
        <is>
          <t>%</t>
        </is>
      </c>
    </row>
    <row r="24">
      <c r="A24" s="21" t="inlineStr">
        <is>
          <t>Backend</t>
        </is>
      </c>
      <c r="B24" s="22" t="n"/>
      <c r="C24" s="22" t="n"/>
      <c r="D24" s="13">
        <f>SUMIF('Sprint 1'!C:C,"Backend",'Sprint 1'!F:F)+SUMIF('Sprint 2'!C:C,"Backend",'Sprint 2'!F:F)+SUMIF('Sprint 3'!C:C,"Backend",'Sprint 3'!F:F)+SUMIF('Sprint 4'!C:C,"Backend",'Sprint 4'!F:F)</f>
        <v/>
      </c>
      <c r="E24" s="14">
        <f>SUMIF('Sprint 1'!C:C,"Backend",'Sprint 1'!H:H)+SUMIF('Sprint 2'!C:C,"Backend",'Sprint 2'!H:H)+SUMIF('Sprint 3'!C:C,"Backend",'Sprint 3'!H:H)+SUMIF('Sprint 4'!C:C,"Backend",'Sprint 4'!H:H)</f>
        <v/>
      </c>
      <c r="F24" s="15">
        <f>IF(D24=0,0,E24/D24)</f>
        <v/>
      </c>
    </row>
    <row r="25">
      <c r="A25" s="21" t="inlineStr">
        <is>
          <t>Screener</t>
        </is>
      </c>
      <c r="B25" s="22" t="n"/>
      <c r="C25" s="22" t="n"/>
      <c r="D25" s="13">
        <f>SUMIF('Sprint 1'!C:C,"Screener",'Sprint 1'!F:F)+SUMIF('Sprint 2'!C:C,"Screener",'Sprint 2'!F:F)+SUMIF('Sprint 3'!C:C,"Screener",'Sprint 3'!F:F)+SUMIF('Sprint 4'!C:C,"Screener",'Sprint 4'!F:F)</f>
        <v/>
      </c>
      <c r="E25" s="14">
        <f>SUMIF('Sprint 1'!C:C,"Screener",'Sprint 1'!H:H)+SUMIF('Sprint 2'!C:C,"Screener",'Sprint 2'!H:H)+SUMIF('Sprint 3'!C:C,"Screener",'Sprint 3'!H:H)+SUMIF('Sprint 4'!C:C,"Screener",'Sprint 4'!H:H)</f>
        <v/>
      </c>
      <c r="F25" s="15">
        <f>IF(D25=0,0,E25/D25)</f>
        <v/>
      </c>
    </row>
    <row r="26">
      <c r="A26" s="21" t="inlineStr">
        <is>
          <t>Detalle</t>
        </is>
      </c>
      <c r="B26" s="22" t="n"/>
      <c r="C26" s="22" t="n"/>
      <c r="D26" s="13">
        <f>SUMIF('Sprint 1'!C:C,"Detalle",'Sprint 1'!F:F)+SUMIF('Sprint 2'!C:C,"Detalle",'Sprint 2'!F:F)+SUMIF('Sprint 3'!C:C,"Detalle",'Sprint 3'!F:F)+SUMIF('Sprint 4'!C:C,"Detalle",'Sprint 4'!F:F)</f>
        <v/>
      </c>
      <c r="E26" s="14">
        <f>SUMIF('Sprint 1'!C:C,"Detalle",'Sprint 1'!H:H)+SUMIF('Sprint 2'!C:C,"Detalle",'Sprint 2'!H:H)+SUMIF('Sprint 3'!C:C,"Detalle",'Sprint 3'!H:H)+SUMIF('Sprint 4'!C:C,"Detalle",'Sprint 4'!H:H)</f>
        <v/>
      </c>
      <c r="F26" s="15">
        <f>IF(D26=0,0,E26/D26)</f>
        <v/>
      </c>
    </row>
    <row r="27">
      <c r="A27" s="21" t="inlineStr">
        <is>
          <t>Infra</t>
        </is>
      </c>
      <c r="B27" s="22" t="n"/>
      <c r="C27" s="22" t="n"/>
      <c r="D27" s="13">
        <f>SUMIF('Sprint 1'!C:C,"Infra",'Sprint 1'!F:F)+SUMIF('Sprint 2'!C:C,"Infra",'Sprint 2'!F:F)+SUMIF('Sprint 3'!C:C,"Infra",'Sprint 3'!F:F)+SUMIF('Sprint 4'!C:C,"Infra",'Sprint 4'!F:F)</f>
        <v/>
      </c>
      <c r="E27" s="14">
        <f>SUMIF('Sprint 1'!C:C,"Infra",'Sprint 1'!H:H)+SUMIF('Sprint 2'!C:C,"Infra",'Sprint 2'!H:H)+SUMIF('Sprint 3'!C:C,"Infra",'Sprint 3'!H:H)+SUMIF('Sprint 4'!C:C,"Infra",'Sprint 4'!H:H)</f>
        <v/>
      </c>
      <c r="F27" s="15">
        <f>IF(D27=0,0,E27/D27)</f>
        <v/>
      </c>
    </row>
    <row r="28">
      <c r="A28" s="21" t="inlineStr">
        <is>
          <t>Datos</t>
        </is>
      </c>
      <c r="B28" s="22" t="n"/>
      <c r="C28" s="22" t="n"/>
      <c r="D28" s="13">
        <f>SUMIF('Sprint 1'!C:C,"Datos",'Sprint 1'!F:F)+SUMIF('Sprint 2'!C:C,"Datos",'Sprint 2'!F:F)+SUMIF('Sprint 3'!C:C,"Datos",'Sprint 3'!F:F)+SUMIF('Sprint 4'!C:C,"Datos",'Sprint 4'!F:F)</f>
        <v/>
      </c>
      <c r="E28" s="14">
        <f>SUMIF('Sprint 1'!C:C,"Datos",'Sprint 1'!H:H)+SUMIF('Sprint 2'!C:C,"Datos",'Sprint 2'!H:H)+SUMIF('Sprint 3'!C:C,"Datos",'Sprint 3'!H:H)+SUMIF('Sprint 4'!C:C,"Datos",'Sprint 4'!H:H)</f>
        <v/>
      </c>
      <c r="F28" s="15">
        <f>IF(D28=0,0,E28/D28)</f>
        <v/>
      </c>
    </row>
    <row r="29">
      <c r="A29" s="21" t="inlineStr">
        <is>
          <t>Jobs</t>
        </is>
      </c>
      <c r="B29" s="22" t="n"/>
      <c r="C29" s="22" t="n"/>
      <c r="D29" s="13">
        <f>SUMIF('Sprint 1'!C:C,"Jobs",'Sprint 1'!F:F)+SUMIF('Sprint 2'!C:C,"Jobs",'Sprint 2'!F:F)+SUMIF('Sprint 3'!C:C,"Jobs",'Sprint 3'!F:F)+SUMIF('Sprint 4'!C:C,"Jobs",'Sprint 4'!F:F)</f>
        <v/>
      </c>
      <c r="E29" s="14">
        <f>SUMIF('Sprint 1'!C:C,"Jobs",'Sprint 1'!H:H)+SUMIF('Sprint 2'!C:C,"Jobs",'Sprint 2'!H:H)+SUMIF('Sprint 3'!C:C,"Jobs",'Sprint 3'!H:H)+SUMIF('Sprint 4'!C:C,"Jobs",'Sprint 4'!H:H)</f>
        <v/>
      </c>
      <c r="F29" s="15">
        <f>IF(D29=0,0,E29/D29)</f>
        <v/>
      </c>
    </row>
    <row r="30">
      <c r="A30" s="21" t="inlineStr">
        <is>
          <t>QA</t>
        </is>
      </c>
      <c r="B30" s="22" t="n"/>
      <c r="C30" s="22" t="n"/>
      <c r="D30" s="13">
        <f>SUMIF('Sprint 1'!C:C,"QA",'Sprint 1'!F:F)+SUMIF('Sprint 2'!C:C,"QA",'Sprint 2'!F:F)+SUMIF('Sprint 3'!C:C,"QA",'Sprint 3'!F:F)+SUMIF('Sprint 4'!C:C,"QA",'Sprint 4'!F:F)</f>
        <v/>
      </c>
      <c r="E30" s="14">
        <f>SUMIF('Sprint 1'!C:C,"QA",'Sprint 1'!H:H)+SUMIF('Sprint 2'!C:C,"QA",'Sprint 2'!H:H)+SUMIF('Sprint 3'!C:C,"QA",'Sprint 3'!H:H)+SUMIF('Sprint 4'!C:C,"QA",'Sprint 4'!H:H)</f>
        <v/>
      </c>
      <c r="F30" s="15">
        <f>IF(D30=0,0,E30/D30)</f>
        <v/>
      </c>
    </row>
  </sheetData>
  <mergeCells count="6">
    <mergeCell ref="A2:F2"/>
    <mergeCell ref="B19:C19"/>
    <mergeCell ref="A1:F1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7" customWidth="1" min="3" max="3"/>
    <col width="15" customWidth="1" min="4" max="4"/>
    <col width="11" customWidth="1" min="5" max="5"/>
    <col width="9" customWidth="1" min="6" max="6"/>
    <col width="10" customWidth="1" min="7" max="7"/>
    <col width="9" customWidth="1" min="8" max="8"/>
    <col width="14" customWidth="1" min="9" max="9"/>
    <col width="26" customWidth="1" min="10" max="10"/>
  </cols>
  <sheetData>
    <row r="1" ht="30" customHeight="1">
      <c r="A1" s="23" t="inlineStr">
        <is>
          <t>SPRINT 1 · SEMANA 1   —   38 pts · 11 tareas</t>
        </is>
      </c>
    </row>
    <row r="2" ht="20" customHeight="1">
      <c r="A2" s="24" t="inlineStr">
        <is>
          <t>Objetivo: Fundamentos navegables: infra + API base + fronts contra mocks del contrato.</t>
        </is>
      </c>
    </row>
    <row r="3" ht="22" customHeight="1">
      <c r="A3" s="25" t="inlineStr">
        <is>
          <t>ID</t>
        </is>
      </c>
      <c r="B3" s="25" t="inlineStr">
        <is>
          <t>Tarea</t>
        </is>
      </c>
      <c r="C3" s="25" t="inlineStr">
        <is>
          <t>Épica</t>
        </is>
      </c>
      <c r="D3" s="25" t="inlineStr">
        <is>
          <t>Responsable</t>
        </is>
      </c>
      <c r="E3" s="25" t="inlineStr">
        <is>
          <t>Prioridad</t>
        </is>
      </c>
      <c r="F3" s="25" t="inlineStr">
        <is>
          <t>Puntos</t>
        </is>
      </c>
      <c r="G3" s="25" t="inlineStr">
        <is>
          <t>Avance</t>
        </is>
      </c>
      <c r="H3" s="25" t="inlineStr">
        <is>
          <t>Pts ✓</t>
        </is>
      </c>
      <c r="I3" s="25" t="inlineStr">
        <is>
          <t>Estado</t>
        </is>
      </c>
      <c r="J3" s="25" t="inlineStr">
        <is>
          <t>Notas</t>
        </is>
      </c>
    </row>
    <row r="4" ht="30" customHeight="1">
      <c r="A4" s="26" t="inlineStr">
        <is>
          <t>S1-01</t>
        </is>
      </c>
      <c r="B4" s="27" t="inlineStr">
        <is>
          <t>Definir contrato de API + entregar mocks (día 1)</t>
        </is>
      </c>
      <c r="C4" s="26" t="inlineStr">
        <is>
          <t>Backend</t>
        </is>
      </c>
      <c r="D4" s="28" t="inlineStr">
        <is>
          <t>Federico</t>
        </is>
      </c>
      <c r="E4" s="26" t="inlineStr">
        <is>
          <t>Muy alta</t>
        </is>
      </c>
      <c r="F4" s="29" t="n">
        <v>3</v>
      </c>
      <c r="G4" s="30" t="n">
        <v>0</v>
      </c>
      <c r="H4" s="31">
        <f>F4*G4</f>
        <v/>
      </c>
      <c r="I4" s="26" t="inlineStr">
        <is>
          <t>Pendiente</t>
        </is>
      </c>
      <c r="J4" s="27" t="inlineStr"/>
    </row>
    <row r="5" ht="30" customHeight="1">
      <c r="A5" s="11" t="inlineStr">
        <is>
          <t>S1-02</t>
        </is>
      </c>
      <c r="B5" s="12" t="inlineStr">
        <is>
          <t>Esquema PostgreSQL (empresas + instrumentos)</t>
        </is>
      </c>
      <c r="C5" s="11" t="inlineStr">
        <is>
          <t>Datos</t>
        </is>
      </c>
      <c r="D5" s="18" t="inlineStr">
        <is>
          <t>Federico</t>
        </is>
      </c>
      <c r="E5" s="11" t="inlineStr">
        <is>
          <t>Alta</t>
        </is>
      </c>
      <c r="F5" s="32" t="n">
        <v>3</v>
      </c>
      <c r="G5" s="33" t="n">
        <v>0</v>
      </c>
      <c r="H5" s="34">
        <f>F5*G5</f>
        <v/>
      </c>
      <c r="I5" s="11" t="inlineStr">
        <is>
          <t>Pendiente</t>
        </is>
      </c>
      <c r="J5" s="12" t="inlineStr"/>
    </row>
    <row r="6" ht="30" customHeight="1">
      <c r="A6" s="26" t="inlineStr">
        <is>
          <t>S1-03</t>
        </is>
      </c>
      <c r="B6" s="27" t="inlineStr">
        <is>
          <t>Migrar/cargar 572 empresas + 733 instrumentos a Postgres</t>
        </is>
      </c>
      <c r="C6" s="26" t="inlineStr">
        <is>
          <t>Datos</t>
        </is>
      </c>
      <c r="D6" s="28" t="inlineStr">
        <is>
          <t>Federico</t>
        </is>
      </c>
      <c r="E6" s="26" t="inlineStr">
        <is>
          <t>Alta</t>
        </is>
      </c>
      <c r="F6" s="29" t="n">
        <v>5</v>
      </c>
      <c r="G6" s="30" t="n">
        <v>0</v>
      </c>
      <c r="H6" s="31">
        <f>F6*G6</f>
        <v/>
      </c>
      <c r="I6" s="26" t="inlineStr">
        <is>
          <t>Pendiente</t>
        </is>
      </c>
      <c r="J6" s="27" t="inlineStr"/>
    </row>
    <row r="7" ht="30" customHeight="1">
      <c r="A7" s="11" t="inlineStr">
        <is>
          <t>S1-04</t>
        </is>
      </c>
      <c r="B7" s="12" t="inlineStr">
        <is>
          <t>Configurar Postgres en la VPS + backups diarios</t>
        </is>
      </c>
      <c r="C7" s="11" t="inlineStr">
        <is>
          <t>Infra</t>
        </is>
      </c>
      <c r="D7" s="18" t="inlineStr">
        <is>
          <t>Federico</t>
        </is>
      </c>
      <c r="E7" s="11" t="inlineStr">
        <is>
          <t>Alta</t>
        </is>
      </c>
      <c r="F7" s="32" t="n">
        <v>3</v>
      </c>
      <c r="G7" s="33" t="n">
        <v>0</v>
      </c>
      <c r="H7" s="34">
        <f>F7*G7</f>
        <v/>
      </c>
      <c r="I7" s="11" t="inlineStr">
        <is>
          <t>Pendiente</t>
        </is>
      </c>
      <c r="J7" s="12" t="inlineStr"/>
    </row>
    <row r="8" ht="30" customHeight="1">
      <c r="A8" s="26" t="inlineStr">
        <is>
          <t>S1-05</t>
        </is>
      </c>
      <c r="B8" s="27" t="inlineStr">
        <is>
          <t>Deploy API base + HTTPS (nginx/certbot) + CORS</t>
        </is>
      </c>
      <c r="C8" s="26" t="inlineStr">
        <is>
          <t>Infra</t>
        </is>
      </c>
      <c r="D8" s="28" t="inlineStr">
        <is>
          <t>Federico</t>
        </is>
      </c>
      <c r="E8" s="26" t="inlineStr">
        <is>
          <t>Alta</t>
        </is>
      </c>
      <c r="F8" s="29" t="n">
        <v>5</v>
      </c>
      <c r="G8" s="30" t="n">
        <v>0</v>
      </c>
      <c r="H8" s="31">
        <f>F8*G8</f>
        <v/>
      </c>
      <c r="I8" s="26" t="inlineStr">
        <is>
          <t>Pendiente</t>
        </is>
      </c>
      <c r="J8" s="27" t="inlineStr"/>
    </row>
    <row r="9" ht="30" customHeight="1">
      <c r="A9" s="11" t="inlineStr">
        <is>
          <t>S1-06</t>
        </is>
      </c>
      <c r="B9" s="12" t="inlineStr">
        <is>
          <t>Scaffold FastAPI + conexión Postgres async</t>
        </is>
      </c>
      <c r="C9" s="11" t="inlineStr">
        <is>
          <t>Backend</t>
        </is>
      </c>
      <c r="D9" s="10" t="inlineStr">
        <is>
          <t>Mateo</t>
        </is>
      </c>
      <c r="E9" s="11" t="inlineStr">
        <is>
          <t>Alta</t>
        </is>
      </c>
      <c r="F9" s="32" t="n">
        <v>3</v>
      </c>
      <c r="G9" s="33" t="n">
        <v>0</v>
      </c>
      <c r="H9" s="34">
        <f>F9*G9</f>
        <v/>
      </c>
      <c r="I9" s="11" t="inlineStr">
        <is>
          <t>Pendiente</t>
        </is>
      </c>
      <c r="J9" s="12" t="inlineStr"/>
    </row>
    <row r="10" ht="30" customHeight="1">
      <c r="A10" s="26" t="inlineStr">
        <is>
          <t>S1-07</t>
        </is>
      </c>
      <c r="B10" s="27" t="inlineStr">
        <is>
          <t>GET /empresas + GET /cobertura + /health</t>
        </is>
      </c>
      <c r="C10" s="26" t="inlineStr">
        <is>
          <t>Backend</t>
        </is>
      </c>
      <c r="D10" s="35" t="inlineStr">
        <is>
          <t>Mateo</t>
        </is>
      </c>
      <c r="E10" s="26" t="inlineStr">
        <is>
          <t>Alta</t>
        </is>
      </c>
      <c r="F10" s="29" t="n">
        <v>5</v>
      </c>
      <c r="G10" s="30" t="n">
        <v>0</v>
      </c>
      <c r="H10" s="31">
        <f>F10*G10</f>
        <v/>
      </c>
      <c r="I10" s="26" t="inlineStr">
        <is>
          <t>Pendiente</t>
        </is>
      </c>
      <c r="J10" s="27" t="inlineStr"/>
    </row>
    <row r="11" ht="30" customHeight="1">
      <c r="A11" s="11" t="inlineStr">
        <is>
          <t>S1-08</t>
        </is>
      </c>
      <c r="B11" s="12" t="inlineStr">
        <is>
          <t>Scaffold Next.js + layout (sidebar/topbar)</t>
        </is>
      </c>
      <c r="C11" s="11" t="inlineStr">
        <is>
          <t>Screener</t>
        </is>
      </c>
      <c r="D11" s="16" t="inlineStr">
        <is>
          <t>Joaquín</t>
        </is>
      </c>
      <c r="E11" s="11" t="inlineStr">
        <is>
          <t>Alta</t>
        </is>
      </c>
      <c r="F11" s="32" t="n">
        <v>3</v>
      </c>
      <c r="G11" s="33" t="n">
        <v>0</v>
      </c>
      <c r="H11" s="34">
        <f>F11*G11</f>
        <v/>
      </c>
      <c r="I11" s="11" t="inlineStr">
        <is>
          <t>Pendiente</t>
        </is>
      </c>
      <c r="J11" s="12" t="inlineStr"/>
    </row>
    <row r="12" ht="30" customHeight="1">
      <c r="A12" s="26" t="inlineStr">
        <is>
          <t>S1-09</t>
        </is>
      </c>
      <c r="B12" s="27" t="inlineStr">
        <is>
          <t>Tabla screener contra mocks del contrato</t>
        </is>
      </c>
      <c r="C12" s="26" t="inlineStr">
        <is>
          <t>Screener</t>
        </is>
      </c>
      <c r="D12" s="36" t="inlineStr">
        <is>
          <t>Joaquín</t>
        </is>
      </c>
      <c r="E12" s="26" t="inlineStr">
        <is>
          <t>Media</t>
        </is>
      </c>
      <c r="F12" s="29" t="n">
        <v>3</v>
      </c>
      <c r="G12" s="30" t="n">
        <v>0</v>
      </c>
      <c r="H12" s="31">
        <f>F12*G12</f>
        <v/>
      </c>
      <c r="I12" s="26" t="inlineStr">
        <is>
          <t>Pendiente</t>
        </is>
      </c>
      <c r="J12" s="27" t="inlineStr"/>
    </row>
    <row r="13" ht="30" customHeight="1">
      <c r="A13" s="11" t="inlineStr">
        <is>
          <t>S1-10</t>
        </is>
      </c>
      <c r="B13" s="12" t="inlineStr">
        <is>
          <t>Base del front + ruta detalle contra mocks</t>
        </is>
      </c>
      <c r="C13" s="11" t="inlineStr">
        <is>
          <t>Detalle</t>
        </is>
      </c>
      <c r="D13" s="17" t="inlineStr">
        <is>
          <t>Aldana</t>
        </is>
      </c>
      <c r="E13" s="11" t="inlineStr">
        <is>
          <t>Media</t>
        </is>
      </c>
      <c r="F13" s="32" t="n">
        <v>3</v>
      </c>
      <c r="G13" s="33" t="n">
        <v>0</v>
      </c>
      <c r="H13" s="34">
        <f>F13*G13</f>
        <v/>
      </c>
      <c r="I13" s="11" t="inlineStr">
        <is>
          <t>Pendiente</t>
        </is>
      </c>
      <c r="J13" s="12" t="inlineStr"/>
    </row>
    <row r="14" ht="30" customHeight="1">
      <c r="A14" s="26" t="inlineStr">
        <is>
          <t>S1-11</t>
        </is>
      </c>
      <c r="B14" s="27" t="inlineStr">
        <is>
          <t>Componentes base (cards, chips, tabla)</t>
        </is>
      </c>
      <c r="C14" s="26" t="inlineStr">
        <is>
          <t>Detalle</t>
        </is>
      </c>
      <c r="D14" s="37" t="inlineStr">
        <is>
          <t>Aldana</t>
        </is>
      </c>
      <c r="E14" s="26" t="inlineStr">
        <is>
          <t>Media</t>
        </is>
      </c>
      <c r="F14" s="29" t="n">
        <v>2</v>
      </c>
      <c r="G14" s="30" t="n">
        <v>0</v>
      </c>
      <c r="H14" s="31">
        <f>F14*G14</f>
        <v/>
      </c>
      <c r="I14" s="26" t="inlineStr">
        <is>
          <t>Pendiente</t>
        </is>
      </c>
      <c r="J14" s="27" t="inlineStr"/>
    </row>
    <row r="15" ht="24" customHeight="1">
      <c r="A15" s="25" t="inlineStr">
        <is>
          <t>TOTAL</t>
        </is>
      </c>
      <c r="B15" s="25" t="n"/>
      <c r="C15" s="25" t="n"/>
      <c r="D15" s="25" t="n"/>
      <c r="E15" s="25" t="n"/>
      <c r="F15" s="38">
        <f>SUM(F4:F14)</f>
        <v/>
      </c>
      <c r="G15" s="25" t="n"/>
      <c r="H15" s="39">
        <f>SUM(H4:H14)</f>
        <v/>
      </c>
      <c r="I15" s="40">
        <f>IF(F15=0,0,H15/F15)</f>
        <v/>
      </c>
      <c r="J15" s="25" t="n"/>
    </row>
  </sheetData>
  <mergeCells count="2">
    <mergeCell ref="A1:J1"/>
    <mergeCell ref="A2:J2"/>
  </mergeCells>
  <conditionalFormatting sqref="G4:G14">
    <cfRule type="dataBar" priority="1">
      <dataBar>
        <cfvo type="num" val="0"/>
        <cfvo type="num" val="1"/>
        <color rgb="003B82F6"/>
      </dataBar>
    </cfRule>
  </conditionalFormatting>
  <conditionalFormatting sqref="I4:I14">
    <cfRule type="cellIs" priority="2" operator="equal" dxfId="0">
      <formula>"Hecho"</formula>
    </cfRule>
    <cfRule type="cellIs" priority="3" operator="equal" dxfId="1">
      <formula>"En curso"</formula>
    </cfRule>
    <cfRule type="cellIs" priority="4" operator="equal" dxfId="2">
      <formula>"En review"</formula>
    </cfRule>
    <cfRule type="cellIs" priority="5" operator="equal" dxfId="3">
      <formula>"Bloqueado"</formula>
    </cfRule>
  </conditionalFormatting>
  <dataValidations count="2">
    <dataValidation sqref="I4:I14" showDropDown="0" showInputMessage="0" showErrorMessage="0" allowBlank="1" type="list">
      <formula1>"Pendiente,En curso,En review,Hecho,Bloqueado"</formula1>
    </dataValidation>
    <dataValidation sqref="G4:G14" showDropDown="0" showInputMessage="0" showErrorMessage="0" allowBlank="1" type="list">
      <formula1>"0,0.25,0.5,0.75,1"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7" customWidth="1" min="3" max="3"/>
    <col width="15" customWidth="1" min="4" max="4"/>
    <col width="11" customWidth="1" min="5" max="5"/>
    <col width="9" customWidth="1" min="6" max="6"/>
    <col width="10" customWidth="1" min="7" max="7"/>
    <col width="9" customWidth="1" min="8" max="8"/>
    <col width="14" customWidth="1" min="9" max="9"/>
    <col width="26" customWidth="1" min="10" max="10"/>
  </cols>
  <sheetData>
    <row r="1" ht="30" customHeight="1">
      <c r="A1" s="23" t="inlineStr">
        <is>
          <t>SPRINT 2 · SEMANA 2   —   25 pts · 7 tareas</t>
        </is>
      </c>
    </row>
    <row r="2" ht="20" customHeight="1">
      <c r="A2" s="24" t="inlineStr">
        <is>
          <t>Objetivo: Datos reales conectados: front consume la API (572 empresas, doble moneda) + panel de instrumentos.</t>
        </is>
      </c>
    </row>
    <row r="3" ht="22" customHeight="1">
      <c r="A3" s="25" t="inlineStr">
        <is>
          <t>ID</t>
        </is>
      </c>
      <c r="B3" s="25" t="inlineStr">
        <is>
          <t>Tarea</t>
        </is>
      </c>
      <c r="C3" s="25" t="inlineStr">
        <is>
          <t>Épica</t>
        </is>
      </c>
      <c r="D3" s="25" t="inlineStr">
        <is>
          <t>Responsable</t>
        </is>
      </c>
      <c r="E3" s="25" t="inlineStr">
        <is>
          <t>Prioridad</t>
        </is>
      </c>
      <c r="F3" s="25" t="inlineStr">
        <is>
          <t>Puntos</t>
        </is>
      </c>
      <c r="G3" s="25" t="inlineStr">
        <is>
          <t>Avance</t>
        </is>
      </c>
      <c r="H3" s="25" t="inlineStr">
        <is>
          <t>Pts ✓</t>
        </is>
      </c>
      <c r="I3" s="25" t="inlineStr">
        <is>
          <t>Estado</t>
        </is>
      </c>
      <c r="J3" s="25" t="inlineStr">
        <is>
          <t>Notas</t>
        </is>
      </c>
    </row>
    <row r="4" ht="30" customHeight="1">
      <c r="A4" s="26" t="inlineStr">
        <is>
          <t>S2-01</t>
        </is>
      </c>
      <c r="B4" s="27" t="inlineStr">
        <is>
          <t>GET /empresas/{id} (fundamentales + instrumentos anidados)</t>
        </is>
      </c>
      <c r="C4" s="26" t="inlineStr">
        <is>
          <t>Backend</t>
        </is>
      </c>
      <c r="D4" s="35" t="inlineStr">
        <is>
          <t>Mateo</t>
        </is>
      </c>
      <c r="E4" s="26" t="inlineStr">
        <is>
          <t>Alta</t>
        </is>
      </c>
      <c r="F4" s="29" t="n">
        <v>5</v>
      </c>
      <c r="G4" s="30" t="n">
        <v>0</v>
      </c>
      <c r="H4" s="31">
        <f>F4*G4</f>
        <v/>
      </c>
      <c r="I4" s="26" t="inlineStr">
        <is>
          <t>Pendiente</t>
        </is>
      </c>
      <c r="J4" s="27" t="inlineStr"/>
    </row>
    <row r="5" ht="30" customHeight="1">
      <c r="A5" s="11" t="inlineStr">
        <is>
          <t>S2-02</t>
        </is>
      </c>
      <c r="B5" s="12" t="inlineStr">
        <is>
          <t>GET /instrumentos con filtros + paginación</t>
        </is>
      </c>
      <c r="C5" s="11" t="inlineStr">
        <is>
          <t>Backend</t>
        </is>
      </c>
      <c r="D5" s="10" t="inlineStr">
        <is>
          <t>Mateo</t>
        </is>
      </c>
      <c r="E5" s="11" t="inlineStr">
        <is>
          <t>Media</t>
        </is>
      </c>
      <c r="F5" s="32" t="n">
        <v>3</v>
      </c>
      <c r="G5" s="33" t="n">
        <v>0</v>
      </c>
      <c r="H5" s="34">
        <f>F5*G5</f>
        <v/>
      </c>
      <c r="I5" s="11" t="inlineStr">
        <is>
          <t>Pendiente</t>
        </is>
      </c>
      <c r="J5" s="12" t="inlineStr"/>
    </row>
    <row r="6" ht="30" customHeight="1">
      <c r="A6" s="26" t="inlineStr">
        <is>
          <t>S2-03</t>
        </is>
      </c>
      <c r="B6" s="27" t="inlineStr">
        <is>
          <t>Verificar 733 instrumentos + dividendos ADR en Postgres</t>
        </is>
      </c>
      <c r="C6" s="26" t="inlineStr">
        <is>
          <t>Datos</t>
        </is>
      </c>
      <c r="D6" s="28" t="inlineStr">
        <is>
          <t>Federico</t>
        </is>
      </c>
      <c r="E6" s="26" t="inlineStr">
        <is>
          <t>Media</t>
        </is>
      </c>
      <c r="F6" s="29" t="n">
        <v>3</v>
      </c>
      <c r="G6" s="30" t="n">
        <v>0</v>
      </c>
      <c r="H6" s="31">
        <f>F6*G6</f>
        <v/>
      </c>
      <c r="I6" s="26" t="inlineStr">
        <is>
          <t>Pendiente</t>
        </is>
      </c>
      <c r="J6" s="27" t="inlineStr"/>
    </row>
    <row r="7" ht="30" customHeight="1">
      <c r="A7" s="11" t="inlineStr">
        <is>
          <t>S2-04</t>
        </is>
      </c>
      <c r="B7" s="12" t="inlineStr">
        <is>
          <t>Asistir a frontends a consumir la VPS (CORS/staging)</t>
        </is>
      </c>
      <c r="C7" s="11" t="inlineStr">
        <is>
          <t>Infra</t>
        </is>
      </c>
      <c r="D7" s="18" t="inlineStr">
        <is>
          <t>Federico</t>
        </is>
      </c>
      <c r="E7" s="11" t="inlineStr">
        <is>
          <t>Alta</t>
        </is>
      </c>
      <c r="F7" s="32" t="n">
        <v>2</v>
      </c>
      <c r="G7" s="33" t="n">
        <v>0</v>
      </c>
      <c r="H7" s="34">
        <f>F7*G7</f>
        <v/>
      </c>
      <c r="I7" s="11" t="inlineStr">
        <is>
          <t>Pendiente</t>
        </is>
      </c>
      <c r="J7" s="12" t="inlineStr"/>
    </row>
    <row r="8" ht="30" customHeight="1">
      <c r="A8" s="26" t="inlineStr">
        <is>
          <t>S2-05</t>
        </is>
      </c>
      <c r="B8" s="27" t="inlineStr">
        <is>
          <t>Screener contra API real + toggle ARS/USD</t>
        </is>
      </c>
      <c r="C8" s="26" t="inlineStr">
        <is>
          <t>Screener</t>
        </is>
      </c>
      <c r="D8" s="36" t="inlineStr">
        <is>
          <t>Joaquín</t>
        </is>
      </c>
      <c r="E8" s="26" t="inlineStr">
        <is>
          <t>Alta</t>
        </is>
      </c>
      <c r="F8" s="29" t="n">
        <v>5</v>
      </c>
      <c r="G8" s="30" t="n">
        <v>0</v>
      </c>
      <c r="H8" s="31">
        <f>F8*G8</f>
        <v/>
      </c>
      <c r="I8" s="26" t="inlineStr">
        <is>
          <t>Pendiente</t>
        </is>
      </c>
      <c r="J8" s="27" t="inlineStr"/>
    </row>
    <row r="9" ht="30" customHeight="1">
      <c r="A9" s="11" t="inlineStr">
        <is>
          <t>S2-06</t>
        </is>
      </c>
      <c r="B9" s="12" t="inlineStr">
        <is>
          <t>Sorting + paginación server-side (screener)</t>
        </is>
      </c>
      <c r="C9" s="11" t="inlineStr">
        <is>
          <t>Screener</t>
        </is>
      </c>
      <c r="D9" s="16" t="inlineStr">
        <is>
          <t>Joaquín</t>
        </is>
      </c>
      <c r="E9" s="11" t="inlineStr">
        <is>
          <t>Media</t>
        </is>
      </c>
      <c r="F9" s="32" t="n">
        <v>2</v>
      </c>
      <c r="G9" s="33" t="n">
        <v>0</v>
      </c>
      <c r="H9" s="34">
        <f>F9*G9</f>
        <v/>
      </c>
      <c r="I9" s="11" t="inlineStr">
        <is>
          <t>Pendiente</t>
        </is>
      </c>
      <c r="J9" s="12" t="inlineStr"/>
    </row>
    <row r="10" ht="30" customHeight="1">
      <c r="A10" s="26" t="inlineStr">
        <is>
          <t>S2-07</t>
        </is>
      </c>
      <c r="B10" s="27" t="inlineStr">
        <is>
          <t>Detalle contra API real + panel de instrumentos</t>
        </is>
      </c>
      <c r="C10" s="26" t="inlineStr">
        <is>
          <t>Detalle</t>
        </is>
      </c>
      <c r="D10" s="37" t="inlineStr">
        <is>
          <t>Aldana</t>
        </is>
      </c>
      <c r="E10" s="26" t="inlineStr">
        <is>
          <t>Alta</t>
        </is>
      </c>
      <c r="F10" s="29" t="n">
        <v>5</v>
      </c>
      <c r="G10" s="30" t="n">
        <v>0</v>
      </c>
      <c r="H10" s="31">
        <f>F10*G10</f>
        <v/>
      </c>
      <c r="I10" s="26" t="inlineStr">
        <is>
          <t>Pendiente</t>
        </is>
      </c>
      <c r="J10" s="27" t="inlineStr"/>
    </row>
    <row r="11" ht="24" customHeight="1">
      <c r="A11" s="25" t="inlineStr">
        <is>
          <t>TOTAL</t>
        </is>
      </c>
      <c r="B11" s="25" t="n"/>
      <c r="C11" s="25" t="n"/>
      <c r="D11" s="25" t="n"/>
      <c r="E11" s="25" t="n"/>
      <c r="F11" s="38">
        <f>SUM(F4:F10)</f>
        <v/>
      </c>
      <c r="G11" s="25" t="n"/>
      <c r="H11" s="39">
        <f>SUM(H4:H10)</f>
        <v/>
      </c>
      <c r="I11" s="40">
        <f>IF(F11=0,0,H11/F11)</f>
        <v/>
      </c>
      <c r="J11" s="25" t="n"/>
    </row>
  </sheetData>
  <mergeCells count="2">
    <mergeCell ref="A1:J1"/>
    <mergeCell ref="A2:J2"/>
  </mergeCells>
  <conditionalFormatting sqref="G4:G10">
    <cfRule type="dataBar" priority="1">
      <dataBar>
        <cfvo type="num" val="0"/>
        <cfvo type="num" val="1"/>
        <color rgb="003B82F6"/>
      </dataBar>
    </cfRule>
  </conditionalFormatting>
  <conditionalFormatting sqref="I4:I10">
    <cfRule type="cellIs" priority="2" operator="equal" dxfId="0">
      <formula>"Hecho"</formula>
    </cfRule>
    <cfRule type="cellIs" priority="3" operator="equal" dxfId="1">
      <formula>"En curso"</formula>
    </cfRule>
    <cfRule type="cellIs" priority="4" operator="equal" dxfId="2">
      <formula>"En review"</formula>
    </cfRule>
    <cfRule type="cellIs" priority="5" operator="equal" dxfId="3">
      <formula>"Bloqueado"</formula>
    </cfRule>
  </conditionalFormatting>
  <dataValidations count="2">
    <dataValidation sqref="I4:I10" showDropDown="0" showInputMessage="0" showErrorMessage="0" allowBlank="1" type="list">
      <formula1>"Pendiente,En curso,En review,Hecho,Bloqueado"</formula1>
    </dataValidation>
    <dataValidation sqref="G4:G10" showDropDown="0" showInputMessage="0" showErrorMessage="0" allowBlank="1" type="list">
      <formula1>"0,0.25,0.5,0.75,1"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7" customWidth="1" min="3" max="3"/>
    <col width="15" customWidth="1" min="4" max="4"/>
    <col width="11" customWidth="1" min="5" max="5"/>
    <col width="9" customWidth="1" min="6" max="6"/>
    <col width="10" customWidth="1" min="7" max="7"/>
    <col width="9" customWidth="1" min="8" max="8"/>
    <col width="14" customWidth="1" min="9" max="9"/>
    <col width="26" customWidth="1" min="10" max="10"/>
  </cols>
  <sheetData>
    <row r="1" ht="30" customHeight="1">
      <c r="A1" s="23" t="inlineStr">
        <is>
          <t>SPRINT 3 · SEMANA 3   —   26 pts · 9 tareas</t>
        </is>
      </c>
    </row>
    <row r="2" ht="20" customHeight="1">
      <c r="A2" s="24" t="inlineStr">
        <is>
          <t>Objetivo: Funcionalidad completa: filtros, export, jobs en vivo, CEDEAR/ADR y comparador.</t>
        </is>
      </c>
    </row>
    <row r="3" ht="22" customHeight="1">
      <c r="A3" s="25" t="inlineStr">
        <is>
          <t>ID</t>
        </is>
      </c>
      <c r="B3" s="25" t="inlineStr">
        <is>
          <t>Tarea</t>
        </is>
      </c>
      <c r="C3" s="25" t="inlineStr">
        <is>
          <t>Épica</t>
        </is>
      </c>
      <c r="D3" s="25" t="inlineStr">
        <is>
          <t>Responsable</t>
        </is>
      </c>
      <c r="E3" s="25" t="inlineStr">
        <is>
          <t>Prioridad</t>
        </is>
      </c>
      <c r="F3" s="25" t="inlineStr">
        <is>
          <t>Puntos</t>
        </is>
      </c>
      <c r="G3" s="25" t="inlineStr">
        <is>
          <t>Avance</t>
        </is>
      </c>
      <c r="H3" s="25" t="inlineStr">
        <is>
          <t>Pts ✓</t>
        </is>
      </c>
      <c r="I3" s="25" t="inlineStr">
        <is>
          <t>Estado</t>
        </is>
      </c>
      <c r="J3" s="25" t="inlineStr">
        <is>
          <t>Notas</t>
        </is>
      </c>
    </row>
    <row r="4" ht="30" customHeight="1">
      <c r="A4" s="26" t="inlineStr">
        <is>
          <t>S3-01</t>
        </is>
      </c>
      <c r="B4" s="27" t="inlineStr">
        <is>
          <t>Filtros compuestos en /empresas (per, roe, solo_limpias)</t>
        </is>
      </c>
      <c r="C4" s="26" t="inlineStr">
        <is>
          <t>Backend</t>
        </is>
      </c>
      <c r="D4" s="35" t="inlineStr">
        <is>
          <t>Mateo</t>
        </is>
      </c>
      <c r="E4" s="26" t="inlineStr">
        <is>
          <t>Alta</t>
        </is>
      </c>
      <c r="F4" s="29" t="n">
        <v>3</v>
      </c>
      <c r="G4" s="30" t="n">
        <v>0</v>
      </c>
      <c r="H4" s="31">
        <f>F4*G4</f>
        <v/>
      </c>
      <c r="I4" s="26" t="inlineStr">
        <is>
          <t>Pendiente</t>
        </is>
      </c>
      <c r="J4" s="27" t="inlineStr"/>
    </row>
    <row r="5" ht="30" customHeight="1">
      <c r="A5" s="11" t="inlineStr">
        <is>
          <t>S3-02</t>
        </is>
      </c>
      <c r="B5" s="12" t="inlineStr">
        <is>
          <t>POST /jobs/{tipo} + GET /jobs/{id}/status</t>
        </is>
      </c>
      <c r="C5" s="11" t="inlineStr">
        <is>
          <t>Jobs</t>
        </is>
      </c>
      <c r="D5" s="10" t="inlineStr">
        <is>
          <t>Mateo</t>
        </is>
      </c>
      <c r="E5" s="11" t="inlineStr">
        <is>
          <t>Media</t>
        </is>
      </c>
      <c r="F5" s="32" t="n">
        <v>3</v>
      </c>
      <c r="G5" s="33" t="n">
        <v>0</v>
      </c>
      <c r="H5" s="34">
        <f>F5*G5</f>
        <v/>
      </c>
      <c r="I5" s="11" t="inlineStr">
        <is>
          <t>Pendiente</t>
        </is>
      </c>
      <c r="J5" s="12" t="inlineStr"/>
    </row>
    <row r="6" ht="30" customHeight="1">
      <c r="A6" s="26" t="inlineStr">
        <is>
          <t>S3-03</t>
        </is>
      </c>
      <c r="B6" s="27" t="inlineStr">
        <is>
          <t>Scheduler de jobs en la VPS (precios/financials)</t>
        </is>
      </c>
      <c r="C6" s="26" t="inlineStr">
        <is>
          <t>Jobs</t>
        </is>
      </c>
      <c r="D6" s="28" t="inlineStr">
        <is>
          <t>Federico</t>
        </is>
      </c>
      <c r="E6" s="26" t="inlineStr">
        <is>
          <t>Media</t>
        </is>
      </c>
      <c r="F6" s="29" t="n">
        <v>3</v>
      </c>
      <c r="G6" s="30" t="n">
        <v>0</v>
      </c>
      <c r="H6" s="31">
        <f>F6*G6</f>
        <v/>
      </c>
      <c r="I6" s="26" t="inlineStr">
        <is>
          <t>Pendiente</t>
        </is>
      </c>
      <c r="J6" s="27" t="inlineStr"/>
    </row>
    <row r="7" ht="30" customHeight="1">
      <c r="A7" s="11" t="inlineStr">
        <is>
          <t>S3-04</t>
        </is>
      </c>
      <c r="B7" s="12" t="inlineStr">
        <is>
          <t>Filtros min/max + filtro por flag de calidad</t>
        </is>
      </c>
      <c r="C7" s="11" t="inlineStr">
        <is>
          <t>Screener</t>
        </is>
      </c>
      <c r="D7" s="16" t="inlineStr">
        <is>
          <t>Joaquín</t>
        </is>
      </c>
      <c r="E7" s="11" t="inlineStr">
        <is>
          <t>Alta</t>
        </is>
      </c>
      <c r="F7" s="32" t="n">
        <v>3</v>
      </c>
      <c r="G7" s="33" t="n">
        <v>0</v>
      </c>
      <c r="H7" s="34">
        <f>F7*G7</f>
        <v/>
      </c>
      <c r="I7" s="11" t="inlineStr">
        <is>
          <t>Pendiente</t>
        </is>
      </c>
      <c r="J7" s="12" t="inlineStr"/>
    </row>
    <row r="8" ht="30" customHeight="1">
      <c r="A8" s="26" t="inlineStr">
        <is>
          <t>S3-05</t>
        </is>
      </c>
      <c r="B8" s="27" t="inlineStr">
        <is>
          <t>Export CSV del screener</t>
        </is>
      </c>
      <c r="C8" s="26" t="inlineStr">
        <is>
          <t>Screener</t>
        </is>
      </c>
      <c r="D8" s="36" t="inlineStr">
        <is>
          <t>Joaquín</t>
        </is>
      </c>
      <c r="E8" s="26" t="inlineStr">
        <is>
          <t>Media</t>
        </is>
      </c>
      <c r="F8" s="29" t="n">
        <v>2</v>
      </c>
      <c r="G8" s="30" t="n">
        <v>0</v>
      </c>
      <c r="H8" s="31">
        <f>F8*G8</f>
        <v/>
      </c>
      <c r="I8" s="26" t="inlineStr">
        <is>
          <t>Pendiente</t>
        </is>
      </c>
      <c r="J8" s="27" t="inlineStr"/>
    </row>
    <row r="9" ht="30" customHeight="1">
      <c r="A9" s="11" t="inlineStr">
        <is>
          <t>S3-06</t>
        </is>
      </c>
      <c r="B9" s="12" t="inlineStr">
        <is>
          <t>Panel de jobs en vivo (polling)</t>
        </is>
      </c>
      <c r="C9" s="11" t="inlineStr">
        <is>
          <t>Screener</t>
        </is>
      </c>
      <c r="D9" s="16" t="inlineStr">
        <is>
          <t>Joaquín</t>
        </is>
      </c>
      <c r="E9" s="11" t="inlineStr">
        <is>
          <t>Media</t>
        </is>
      </c>
      <c r="F9" s="32" t="n">
        <v>3</v>
      </c>
      <c r="G9" s="33" t="n">
        <v>0</v>
      </c>
      <c r="H9" s="34">
        <f>F9*G9</f>
        <v/>
      </c>
      <c r="I9" s="11" t="inlineStr">
        <is>
          <t>Pendiente</t>
        </is>
      </c>
      <c r="J9" s="12" t="inlineStr"/>
    </row>
    <row r="10" ht="30" customHeight="1">
      <c r="A10" s="26" t="inlineStr">
        <is>
          <t>S3-07</t>
        </is>
      </c>
      <c r="B10" s="27" t="inlineStr">
        <is>
          <t>Dividendos ADR + yield (detalle)</t>
        </is>
      </c>
      <c r="C10" s="26" t="inlineStr">
        <is>
          <t>Detalle</t>
        </is>
      </c>
      <c r="D10" s="37" t="inlineStr">
        <is>
          <t>Aldana</t>
        </is>
      </c>
      <c r="E10" s="26" t="inlineStr">
        <is>
          <t>Media</t>
        </is>
      </c>
      <c r="F10" s="29" t="n">
        <v>3</v>
      </c>
      <c r="G10" s="30" t="n">
        <v>0</v>
      </c>
      <c r="H10" s="31">
        <f>F10*G10</f>
        <v/>
      </c>
      <c r="I10" s="26" t="inlineStr">
        <is>
          <t>Pendiente</t>
        </is>
      </c>
      <c r="J10" s="27" t="inlineStr"/>
    </row>
    <row r="11" ht="30" customHeight="1">
      <c r="A11" s="11" t="inlineStr">
        <is>
          <t>S3-08</t>
        </is>
      </c>
      <c r="B11" s="12" t="inlineStr">
        <is>
          <t>Vista CEDEAR (precio con ratio de conversión)</t>
        </is>
      </c>
      <c r="C11" s="11" t="inlineStr">
        <is>
          <t>Detalle</t>
        </is>
      </c>
      <c r="D11" s="17" t="inlineStr">
        <is>
          <t>Aldana</t>
        </is>
      </c>
      <c r="E11" s="11" t="inlineStr">
        <is>
          <t>Alta</t>
        </is>
      </c>
      <c r="F11" s="32" t="n">
        <v>3</v>
      </c>
      <c r="G11" s="33" t="n">
        <v>0</v>
      </c>
      <c r="H11" s="34">
        <f>F11*G11</f>
        <v/>
      </c>
      <c r="I11" s="11" t="inlineStr">
        <is>
          <t>Pendiente</t>
        </is>
      </c>
      <c r="J11" s="12" t="inlineStr"/>
    </row>
    <row r="12" ht="30" customHeight="1">
      <c r="A12" s="26" t="inlineStr">
        <is>
          <t>S3-09</t>
        </is>
      </c>
      <c r="B12" s="27" t="inlineStr">
        <is>
          <t>Comparador (mismo universo) + chips de provenance</t>
        </is>
      </c>
      <c r="C12" s="26" t="inlineStr">
        <is>
          <t>Detalle</t>
        </is>
      </c>
      <c r="D12" s="37" t="inlineStr">
        <is>
          <t>Aldana</t>
        </is>
      </c>
      <c r="E12" s="26" t="inlineStr">
        <is>
          <t>Media</t>
        </is>
      </c>
      <c r="F12" s="29" t="n">
        <v>3</v>
      </c>
      <c r="G12" s="30" t="n">
        <v>0</v>
      </c>
      <c r="H12" s="31">
        <f>F12*G12</f>
        <v/>
      </c>
      <c r="I12" s="26" t="inlineStr">
        <is>
          <t>Pendiente</t>
        </is>
      </c>
      <c r="J12" s="27" t="inlineStr"/>
    </row>
    <row r="13" ht="24" customHeight="1">
      <c r="A13" s="25" t="inlineStr">
        <is>
          <t>TOTAL</t>
        </is>
      </c>
      <c r="B13" s="25" t="n"/>
      <c r="C13" s="25" t="n"/>
      <c r="D13" s="25" t="n"/>
      <c r="E13" s="25" t="n"/>
      <c r="F13" s="38">
        <f>SUM(F4:F12)</f>
        <v/>
      </c>
      <c r="G13" s="25" t="n"/>
      <c r="H13" s="39">
        <f>SUM(H4:H12)</f>
        <v/>
      </c>
      <c r="I13" s="40">
        <f>IF(F13=0,0,H13/F13)</f>
        <v/>
      </c>
      <c r="J13" s="25" t="n"/>
    </row>
  </sheetData>
  <mergeCells count="2">
    <mergeCell ref="A1:J1"/>
    <mergeCell ref="A2:J2"/>
  </mergeCells>
  <conditionalFormatting sqref="G4:G12">
    <cfRule type="dataBar" priority="1">
      <dataBar>
        <cfvo type="num" val="0"/>
        <cfvo type="num" val="1"/>
        <color rgb="003B82F6"/>
      </dataBar>
    </cfRule>
  </conditionalFormatting>
  <conditionalFormatting sqref="I4:I12">
    <cfRule type="cellIs" priority="2" operator="equal" dxfId="0">
      <formula>"Hecho"</formula>
    </cfRule>
    <cfRule type="cellIs" priority="3" operator="equal" dxfId="1">
      <formula>"En curso"</formula>
    </cfRule>
    <cfRule type="cellIs" priority="4" operator="equal" dxfId="2">
      <formula>"En review"</formula>
    </cfRule>
    <cfRule type="cellIs" priority="5" operator="equal" dxfId="3">
      <formula>"Bloqueado"</formula>
    </cfRule>
  </conditionalFormatting>
  <dataValidations count="2">
    <dataValidation sqref="I4:I12" showDropDown="0" showInputMessage="0" showErrorMessage="0" allowBlank="1" type="list">
      <formula1>"Pendiente,En curso,En review,Hecho,Bloqueado"</formula1>
    </dataValidation>
    <dataValidation sqref="G4:G12" showDropDown="0" showInputMessage="0" showErrorMessage="0" allowBlank="1" type="list">
      <formula1>"0,0.25,0.5,0.75,1"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7" customWidth="1" min="3" max="3"/>
    <col width="15" customWidth="1" min="4" max="4"/>
    <col width="11" customWidth="1" min="5" max="5"/>
    <col width="9" customWidth="1" min="6" max="6"/>
    <col width="10" customWidth="1" min="7" max="7"/>
    <col width="9" customWidth="1" min="8" max="8"/>
    <col width="14" customWidth="1" min="9" max="9"/>
    <col width="26" customWidth="1" min="10" max="10"/>
  </cols>
  <sheetData>
    <row r="1" ht="30" customHeight="1">
      <c r="A1" s="23" t="inlineStr">
        <is>
          <t>SPRINT 4 · SEMANA 4   —   19 pts · 7 tareas</t>
        </is>
      </c>
    </row>
    <row r="2" ht="20" customHeight="1">
      <c r="A2" s="24" t="inlineStr">
        <is>
          <t>Objetivo: QA + entrega: tests, hardening, estados/responsive, walkthrough + deploy productivo.</t>
        </is>
      </c>
    </row>
    <row r="3" ht="22" customHeight="1">
      <c r="A3" s="25" t="inlineStr">
        <is>
          <t>ID</t>
        </is>
      </c>
      <c r="B3" s="25" t="inlineStr">
        <is>
          <t>Tarea</t>
        </is>
      </c>
      <c r="C3" s="25" t="inlineStr">
        <is>
          <t>Épica</t>
        </is>
      </c>
      <c r="D3" s="25" t="inlineStr">
        <is>
          <t>Responsable</t>
        </is>
      </c>
      <c r="E3" s="25" t="inlineStr">
        <is>
          <t>Prioridad</t>
        </is>
      </c>
      <c r="F3" s="25" t="inlineStr">
        <is>
          <t>Puntos</t>
        </is>
      </c>
      <c r="G3" s="25" t="inlineStr">
        <is>
          <t>Avance</t>
        </is>
      </c>
      <c r="H3" s="25" t="inlineStr">
        <is>
          <t>Pts ✓</t>
        </is>
      </c>
      <c r="I3" s="25" t="inlineStr">
        <is>
          <t>Estado</t>
        </is>
      </c>
      <c r="J3" s="25" t="inlineStr">
        <is>
          <t>Notas</t>
        </is>
      </c>
    </row>
    <row r="4" ht="30" customHeight="1">
      <c r="A4" s="26" t="inlineStr">
        <is>
          <t>S4-01</t>
        </is>
      </c>
      <c r="B4" s="27" t="inlineStr">
        <is>
          <t>Tests de endpoints + manejo de errores</t>
        </is>
      </c>
      <c r="C4" s="26" t="inlineStr">
        <is>
          <t>Backend</t>
        </is>
      </c>
      <c r="D4" s="35" t="inlineStr">
        <is>
          <t>Mateo</t>
        </is>
      </c>
      <c r="E4" s="26" t="inlineStr">
        <is>
          <t>Alta</t>
        </is>
      </c>
      <c r="F4" s="29" t="n">
        <v>3</v>
      </c>
      <c r="G4" s="30" t="n">
        <v>0</v>
      </c>
      <c r="H4" s="31">
        <f>F4*G4</f>
        <v/>
      </c>
      <c r="I4" s="26" t="inlineStr">
        <is>
          <t>Pendiente</t>
        </is>
      </c>
      <c r="J4" s="27" t="inlineStr"/>
    </row>
    <row r="5" ht="30" customHeight="1">
      <c r="A5" s="11" t="inlineStr">
        <is>
          <t>S4-02</t>
        </is>
      </c>
      <c r="B5" s="12" t="inlineStr">
        <is>
          <t>openapi.json documentado</t>
        </is>
      </c>
      <c r="C5" s="11" t="inlineStr">
        <is>
          <t>Backend</t>
        </is>
      </c>
      <c r="D5" s="10" t="inlineStr">
        <is>
          <t>Mateo</t>
        </is>
      </c>
      <c r="E5" s="11" t="inlineStr">
        <is>
          <t>Media</t>
        </is>
      </c>
      <c r="F5" s="32" t="n">
        <v>2</v>
      </c>
      <c r="G5" s="33" t="n">
        <v>0</v>
      </c>
      <c r="H5" s="34">
        <f>F5*G5</f>
        <v/>
      </c>
      <c r="I5" s="11" t="inlineStr">
        <is>
          <t>Pendiente</t>
        </is>
      </c>
      <c r="J5" s="12" t="inlineStr"/>
    </row>
    <row r="6" ht="30" customHeight="1">
      <c r="A6" s="26" t="inlineStr">
        <is>
          <t>S4-03</t>
        </is>
      </c>
      <c r="B6" s="27" t="inlineStr">
        <is>
          <t>Hardening infra + backups verificados + deploy prod</t>
        </is>
      </c>
      <c r="C6" s="26" t="inlineStr">
        <is>
          <t>Infra</t>
        </is>
      </c>
      <c r="D6" s="28" t="inlineStr">
        <is>
          <t>Federico</t>
        </is>
      </c>
      <c r="E6" s="26" t="inlineStr">
        <is>
          <t>Alta</t>
        </is>
      </c>
      <c r="F6" s="29" t="n">
        <v>3</v>
      </c>
      <c r="G6" s="30" t="n">
        <v>0</v>
      </c>
      <c r="H6" s="31">
        <f>F6*G6</f>
        <v/>
      </c>
      <c r="I6" s="26" t="inlineStr">
        <is>
          <t>Pendiente</t>
        </is>
      </c>
      <c r="J6" s="27" t="inlineStr"/>
    </row>
    <row r="7" ht="30" customHeight="1">
      <c r="A7" s="11" t="inlineStr">
        <is>
          <t>S4-04</t>
        </is>
      </c>
      <c r="B7" s="12" t="inlineStr">
        <is>
          <t>QA de integración end-to-end (checklist)</t>
        </is>
      </c>
      <c r="C7" s="11" t="inlineStr">
        <is>
          <t>QA</t>
        </is>
      </c>
      <c r="D7" s="18" t="inlineStr">
        <is>
          <t>Federico</t>
        </is>
      </c>
      <c r="E7" s="11" t="inlineStr">
        <is>
          <t>Muy alta</t>
        </is>
      </c>
      <c r="F7" s="32" t="n">
        <v>3</v>
      </c>
      <c r="G7" s="33" t="n">
        <v>0</v>
      </c>
      <c r="H7" s="34">
        <f>F7*G7</f>
        <v/>
      </c>
      <c r="I7" s="11" t="inlineStr">
        <is>
          <t>Pendiente</t>
        </is>
      </c>
      <c r="J7" s="12" t="inlineStr"/>
    </row>
    <row r="8" ht="30" customHeight="1">
      <c r="A8" s="26" t="inlineStr">
        <is>
          <t>S4-05</t>
        </is>
      </c>
      <c r="B8" s="27" t="inlineStr">
        <is>
          <t>Estados vacío/loading/error + responsive (screener)</t>
        </is>
      </c>
      <c r="C8" s="26" t="inlineStr">
        <is>
          <t>Screener</t>
        </is>
      </c>
      <c r="D8" s="36" t="inlineStr">
        <is>
          <t>Joaquín</t>
        </is>
      </c>
      <c r="E8" s="26" t="inlineStr">
        <is>
          <t>Alta</t>
        </is>
      </c>
      <c r="F8" s="29" t="n">
        <v>3</v>
      </c>
      <c r="G8" s="30" t="n">
        <v>0</v>
      </c>
      <c r="H8" s="31">
        <f>F8*G8</f>
        <v/>
      </c>
      <c r="I8" s="26" t="inlineStr">
        <is>
          <t>Pendiente</t>
        </is>
      </c>
      <c r="J8" s="27" t="inlineStr"/>
    </row>
    <row r="9" ht="30" customHeight="1">
      <c r="A9" s="11" t="inlineStr">
        <is>
          <t>S4-06</t>
        </is>
      </c>
      <c r="B9" s="12" t="inlineStr">
        <is>
          <t>Estados + responsive + disclaimers (detalle)</t>
        </is>
      </c>
      <c r="C9" s="11" t="inlineStr">
        <is>
          <t>Detalle</t>
        </is>
      </c>
      <c r="D9" s="17" t="inlineStr">
        <is>
          <t>Aldana</t>
        </is>
      </c>
      <c r="E9" s="11" t="inlineStr">
        <is>
          <t>Alta</t>
        </is>
      </c>
      <c r="F9" s="32" t="n">
        <v>3</v>
      </c>
      <c r="G9" s="33" t="n">
        <v>0</v>
      </c>
      <c r="H9" s="34">
        <f>F9*G9</f>
        <v/>
      </c>
      <c r="I9" s="11" t="inlineStr">
        <is>
          <t>Pendiente</t>
        </is>
      </c>
      <c r="J9" s="12" t="inlineStr"/>
    </row>
    <row r="10" ht="30" customHeight="1">
      <c r="A10" s="26" t="inlineStr">
        <is>
          <t>S4-07</t>
        </is>
      </c>
      <c r="B10" s="27" t="inlineStr">
        <is>
          <t>Walkthrough de entrega + README de operación</t>
        </is>
      </c>
      <c r="C10" s="26" t="inlineStr">
        <is>
          <t>QA</t>
        </is>
      </c>
      <c r="D10" s="28" t="inlineStr">
        <is>
          <t>Federico</t>
        </is>
      </c>
      <c r="E10" s="26" t="inlineStr">
        <is>
          <t>Alta</t>
        </is>
      </c>
      <c r="F10" s="29" t="n">
        <v>2</v>
      </c>
      <c r="G10" s="30" t="n">
        <v>0</v>
      </c>
      <c r="H10" s="31">
        <f>F10*G10</f>
        <v/>
      </c>
      <c r="I10" s="26" t="inlineStr">
        <is>
          <t>Pendiente</t>
        </is>
      </c>
      <c r="J10" s="27" t="inlineStr"/>
    </row>
    <row r="11" ht="24" customHeight="1">
      <c r="A11" s="25" t="inlineStr">
        <is>
          <t>TOTAL</t>
        </is>
      </c>
      <c r="B11" s="25" t="n"/>
      <c r="C11" s="25" t="n"/>
      <c r="D11" s="25" t="n"/>
      <c r="E11" s="25" t="n"/>
      <c r="F11" s="38">
        <f>SUM(F4:F10)</f>
        <v/>
      </c>
      <c r="G11" s="25" t="n"/>
      <c r="H11" s="39">
        <f>SUM(H4:H10)</f>
        <v/>
      </c>
      <c r="I11" s="40">
        <f>IF(F11=0,0,H11/F11)</f>
        <v/>
      </c>
      <c r="J11" s="25" t="n"/>
    </row>
  </sheetData>
  <mergeCells count="2">
    <mergeCell ref="A1:J1"/>
    <mergeCell ref="A2:J2"/>
  </mergeCells>
  <conditionalFormatting sqref="G4:G10">
    <cfRule type="dataBar" priority="1">
      <dataBar>
        <cfvo type="num" val="0"/>
        <cfvo type="num" val="1"/>
        <color rgb="003B82F6"/>
      </dataBar>
    </cfRule>
  </conditionalFormatting>
  <conditionalFormatting sqref="I4:I10">
    <cfRule type="cellIs" priority="2" operator="equal" dxfId="0">
      <formula>"Hecho"</formula>
    </cfRule>
    <cfRule type="cellIs" priority="3" operator="equal" dxfId="1">
      <formula>"En curso"</formula>
    </cfRule>
    <cfRule type="cellIs" priority="4" operator="equal" dxfId="2">
      <formula>"En review"</formula>
    </cfRule>
    <cfRule type="cellIs" priority="5" operator="equal" dxfId="3">
      <formula>"Bloqueado"</formula>
    </cfRule>
  </conditionalFormatting>
  <dataValidations count="2">
    <dataValidation sqref="I4:I10" showDropDown="0" showInputMessage="0" showErrorMessage="0" allowBlank="1" type="list">
      <formula1>"Pendiente,En curso,En review,Hecho,Bloqueado"</formula1>
    </dataValidation>
    <dataValidation sqref="G4:G10" showDropDown="0" showInputMessage="0" showErrorMessage="0" allowBlank="1" type="list">
      <formula1>"0,0.25,0.5,0.75,1"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2026-07-14T00:13:29Z</dcterms:created>
  <dcterms:modified xmlns:dcterms="http://purl.org/dc/terms/" xmlns:xsi="http://www.w3.org/2001/XMLSchema-instance" xsi:type="dcterms:W3CDTF">2026-07-14T00:13:29Z</dcterms:modified>
</cp:coreProperties>
</file>