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oftware Development\Porfolio\catalaxia-cedears-prod\docs\proyecto\"/>
    </mc:Choice>
  </mc:AlternateContent>
  <xr:revisionPtr revIDLastSave="0" documentId="13_ncr:1_{317D3544-7E5E-4A1D-A613-4A5A221D3A3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ormulas" sheetId="1" r:id="rId1"/>
    <sheet name="CEDEARs" sheetId="2" r:id="rId2"/>
    <sheet name="Only BYMA" sheetId="3" r:id="rId3"/>
    <sheet name="ADR" sheetId="4" r:id="rId4"/>
  </sheets>
  <calcPr calcId="181029" iterateDelta="1E-4"/>
</workbook>
</file>

<file path=xl/calcChain.xml><?xml version="1.0" encoding="utf-8"?>
<calcChain xmlns="http://schemas.openxmlformats.org/spreadsheetml/2006/main">
  <c r="Q502" i="2" l="1"/>
  <c r="R502" i="2"/>
  <c r="S502" i="2"/>
  <c r="T502" i="2"/>
  <c r="U502" i="2"/>
  <c r="V502" i="2"/>
  <c r="W502" i="2"/>
  <c r="X502" i="2"/>
  <c r="Y502" i="2"/>
  <c r="Z502" i="2"/>
  <c r="AA502" i="2"/>
  <c r="P502" i="2"/>
  <c r="Q59" i="3"/>
  <c r="R59" i="3"/>
  <c r="S59" i="3"/>
  <c r="T59" i="3"/>
  <c r="U59" i="3"/>
  <c r="V59" i="3"/>
  <c r="W59" i="3"/>
  <c r="X59" i="3"/>
  <c r="Y59" i="3"/>
  <c r="Z59" i="3"/>
  <c r="AA59" i="3"/>
  <c r="P59" i="3"/>
  <c r="Y19" i="4"/>
  <c r="Q19" i="4"/>
  <c r="R19" i="4"/>
  <c r="S19" i="4"/>
  <c r="T19" i="4"/>
  <c r="U19" i="4"/>
  <c r="V19" i="4"/>
  <c r="W19" i="4"/>
  <c r="X19" i="4"/>
  <c r="Z19" i="4"/>
  <c r="AA19" i="4"/>
  <c r="P19" i="4"/>
  <c r="Z17" i="3"/>
  <c r="X7" i="3"/>
  <c r="P21" i="3"/>
  <c r="AA18" i="4"/>
  <c r="Z18" i="4"/>
  <c r="Y18" i="4"/>
  <c r="X18" i="4"/>
  <c r="W18" i="4"/>
  <c r="V18" i="4"/>
  <c r="U18" i="4"/>
  <c r="T18" i="4"/>
  <c r="S18" i="4"/>
  <c r="R18" i="4"/>
  <c r="Q18" i="4"/>
  <c r="P18" i="4"/>
  <c r="AA17" i="4"/>
  <c r="Z17" i="4"/>
  <c r="Y17" i="4"/>
  <c r="X17" i="4"/>
  <c r="W17" i="4"/>
  <c r="V17" i="4"/>
  <c r="U17" i="4"/>
  <c r="T17" i="4"/>
  <c r="S17" i="4"/>
  <c r="R17" i="4"/>
  <c r="Q17" i="4"/>
  <c r="P17" i="4"/>
  <c r="AA16" i="4"/>
  <c r="Z16" i="4"/>
  <c r="Y16" i="4"/>
  <c r="X16" i="4"/>
  <c r="W16" i="4"/>
  <c r="V16" i="4"/>
  <c r="U16" i="4"/>
  <c r="T16" i="4"/>
  <c r="S16" i="4"/>
  <c r="R16" i="4"/>
  <c r="Q16" i="4"/>
  <c r="P16" i="4"/>
  <c r="AA15" i="4"/>
  <c r="Z15" i="4"/>
  <c r="Y15" i="4"/>
  <c r="X15" i="4"/>
  <c r="W15" i="4"/>
  <c r="V15" i="4"/>
  <c r="U15" i="4"/>
  <c r="T15" i="4"/>
  <c r="S15" i="4"/>
  <c r="R15" i="4"/>
  <c r="Q15" i="4"/>
  <c r="P15" i="4"/>
  <c r="AA14" i="4"/>
  <c r="Z14" i="4"/>
  <c r="Y14" i="4"/>
  <c r="X14" i="4"/>
  <c r="W14" i="4"/>
  <c r="V14" i="4"/>
  <c r="U14" i="4"/>
  <c r="T14" i="4"/>
  <c r="S14" i="4"/>
  <c r="R14" i="4"/>
  <c r="Q14" i="4"/>
  <c r="P14" i="4"/>
  <c r="AA13" i="4"/>
  <c r="Z13" i="4"/>
  <c r="Y13" i="4"/>
  <c r="X13" i="4"/>
  <c r="W13" i="4"/>
  <c r="V13" i="4"/>
  <c r="U13" i="4"/>
  <c r="T13" i="4"/>
  <c r="S13" i="4"/>
  <c r="R13" i="4"/>
  <c r="Q13" i="4"/>
  <c r="P13" i="4"/>
  <c r="AA12" i="4"/>
  <c r="Z12" i="4"/>
  <c r="Y12" i="4"/>
  <c r="X12" i="4"/>
  <c r="W12" i="4"/>
  <c r="V12" i="4"/>
  <c r="U12" i="4"/>
  <c r="T12" i="4"/>
  <c r="S12" i="4"/>
  <c r="R12" i="4"/>
  <c r="Q12" i="4"/>
  <c r="P12" i="4"/>
  <c r="AA11" i="4"/>
  <c r="Z11" i="4"/>
  <c r="Y11" i="4"/>
  <c r="X11" i="4"/>
  <c r="W11" i="4"/>
  <c r="V11" i="4"/>
  <c r="U11" i="4"/>
  <c r="T11" i="4"/>
  <c r="S11" i="4"/>
  <c r="R11" i="4"/>
  <c r="Q11" i="4"/>
  <c r="P11" i="4"/>
  <c r="AA10" i="4"/>
  <c r="Z10" i="4"/>
  <c r="Y10" i="4"/>
  <c r="X10" i="4"/>
  <c r="W10" i="4"/>
  <c r="V10" i="4"/>
  <c r="U10" i="4"/>
  <c r="T10" i="4"/>
  <c r="S10" i="4"/>
  <c r="R10" i="4"/>
  <c r="Q10" i="4"/>
  <c r="P10" i="4"/>
  <c r="AA9" i="4"/>
  <c r="Z9" i="4"/>
  <c r="Y9" i="4"/>
  <c r="X9" i="4"/>
  <c r="W9" i="4"/>
  <c r="V9" i="4"/>
  <c r="U9" i="4"/>
  <c r="T9" i="4"/>
  <c r="S9" i="4"/>
  <c r="R9" i="4"/>
  <c r="Q9" i="4"/>
  <c r="P9" i="4"/>
  <c r="AA8" i="4"/>
  <c r="Z8" i="4"/>
  <c r="Y8" i="4"/>
  <c r="X8" i="4"/>
  <c r="W8" i="4"/>
  <c r="V8" i="4"/>
  <c r="U8" i="4"/>
  <c r="T8" i="4"/>
  <c r="S8" i="4"/>
  <c r="R8" i="4"/>
  <c r="Q8" i="4"/>
  <c r="P8" i="4"/>
  <c r="AA7" i="4"/>
  <c r="Z7" i="4"/>
  <c r="Y7" i="4"/>
  <c r="X7" i="4"/>
  <c r="W7" i="4"/>
  <c r="V7" i="4"/>
  <c r="U7" i="4"/>
  <c r="T7" i="4"/>
  <c r="S7" i="4"/>
  <c r="R7" i="4"/>
  <c r="Q7" i="4"/>
  <c r="P7" i="4"/>
  <c r="AA6" i="4"/>
  <c r="Z6" i="4"/>
  <c r="Y6" i="4"/>
  <c r="X6" i="4"/>
  <c r="W6" i="4"/>
  <c r="V6" i="4"/>
  <c r="U6" i="4"/>
  <c r="T6" i="4"/>
  <c r="S6" i="4"/>
  <c r="R6" i="4"/>
  <c r="Q6" i="4"/>
  <c r="P6" i="4"/>
  <c r="AA5" i="4"/>
  <c r="Z5" i="4"/>
  <c r="Y5" i="4"/>
  <c r="X5" i="4"/>
  <c r="W5" i="4"/>
  <c r="V5" i="4"/>
  <c r="U5" i="4"/>
  <c r="T5" i="4"/>
  <c r="S5" i="4"/>
  <c r="R5" i="4"/>
  <c r="Q5" i="4"/>
  <c r="P5" i="4"/>
  <c r="AA4" i="4"/>
  <c r="Z4" i="4"/>
  <c r="Y4" i="4"/>
  <c r="X4" i="4"/>
  <c r="W4" i="4"/>
  <c r="V4" i="4"/>
  <c r="U4" i="4"/>
  <c r="T4" i="4"/>
  <c r="S4" i="4"/>
  <c r="R4" i="4"/>
  <c r="Q4" i="4"/>
  <c r="P4" i="4"/>
  <c r="AA3" i="4"/>
  <c r="Z3" i="4"/>
  <c r="Y3" i="4"/>
  <c r="X3" i="4"/>
  <c r="W3" i="4"/>
  <c r="V3" i="4"/>
  <c r="U3" i="4"/>
  <c r="T3" i="4"/>
  <c r="S3" i="4"/>
  <c r="R3" i="4"/>
  <c r="Q3" i="4"/>
  <c r="P3" i="4"/>
  <c r="AA58" i="3"/>
  <c r="Z58" i="3"/>
  <c r="Y58" i="3"/>
  <c r="X58" i="3"/>
  <c r="W58" i="3"/>
  <c r="V58" i="3"/>
  <c r="U58" i="3"/>
  <c r="T58" i="3"/>
  <c r="S58" i="3"/>
  <c r="R58" i="3"/>
  <c r="Q58" i="3"/>
  <c r="P58" i="3"/>
  <c r="AA57" i="3"/>
  <c r="Z57" i="3"/>
  <c r="Y57" i="3"/>
  <c r="X57" i="3"/>
  <c r="W57" i="3"/>
  <c r="V57" i="3"/>
  <c r="U57" i="3"/>
  <c r="T57" i="3"/>
  <c r="S57" i="3"/>
  <c r="R57" i="3"/>
  <c r="Q57" i="3"/>
  <c r="P57" i="3"/>
  <c r="AA56" i="3"/>
  <c r="Z56" i="3"/>
  <c r="Y56" i="3"/>
  <c r="X56" i="3"/>
  <c r="W56" i="3"/>
  <c r="V56" i="3"/>
  <c r="U56" i="3"/>
  <c r="T56" i="3"/>
  <c r="S56" i="3"/>
  <c r="R56" i="3"/>
  <c r="Q56" i="3"/>
  <c r="P56" i="3"/>
  <c r="AA55" i="3"/>
  <c r="Z55" i="3"/>
  <c r="Y55" i="3"/>
  <c r="X55" i="3"/>
  <c r="W55" i="3"/>
  <c r="V55" i="3"/>
  <c r="U55" i="3"/>
  <c r="T55" i="3"/>
  <c r="S55" i="3"/>
  <c r="R55" i="3"/>
  <c r="Q55" i="3"/>
  <c r="P55" i="3"/>
  <c r="AA54" i="3"/>
  <c r="Z54" i="3"/>
  <c r="Y54" i="3"/>
  <c r="X54" i="3"/>
  <c r="W54" i="3"/>
  <c r="V54" i="3"/>
  <c r="U54" i="3"/>
  <c r="T54" i="3"/>
  <c r="S54" i="3"/>
  <c r="R54" i="3"/>
  <c r="Q54" i="3"/>
  <c r="P54" i="3"/>
  <c r="AA53" i="3"/>
  <c r="Z53" i="3"/>
  <c r="Y53" i="3"/>
  <c r="X53" i="3"/>
  <c r="W53" i="3"/>
  <c r="V53" i="3"/>
  <c r="U53" i="3"/>
  <c r="T53" i="3"/>
  <c r="S53" i="3"/>
  <c r="R53" i="3"/>
  <c r="Q53" i="3"/>
  <c r="P53" i="3"/>
  <c r="AA52" i="3"/>
  <c r="Z52" i="3"/>
  <c r="Y52" i="3"/>
  <c r="X52" i="3"/>
  <c r="W52" i="3"/>
  <c r="V52" i="3"/>
  <c r="U52" i="3"/>
  <c r="T52" i="3"/>
  <c r="S52" i="3"/>
  <c r="R52" i="3"/>
  <c r="Q52" i="3"/>
  <c r="P52" i="3"/>
  <c r="AA51" i="3"/>
  <c r="Z51" i="3"/>
  <c r="Y51" i="3"/>
  <c r="X51" i="3"/>
  <c r="W51" i="3"/>
  <c r="V51" i="3"/>
  <c r="U51" i="3"/>
  <c r="T51" i="3"/>
  <c r="S51" i="3"/>
  <c r="R51" i="3"/>
  <c r="Q51" i="3"/>
  <c r="P51" i="3"/>
  <c r="AA50" i="3"/>
  <c r="Z50" i="3"/>
  <c r="Y50" i="3"/>
  <c r="X50" i="3"/>
  <c r="W50" i="3"/>
  <c r="V50" i="3"/>
  <c r="U50" i="3"/>
  <c r="T50" i="3"/>
  <c r="S50" i="3"/>
  <c r="R50" i="3"/>
  <c r="Q50" i="3"/>
  <c r="P50" i="3"/>
  <c r="AA49" i="3"/>
  <c r="Z49" i="3"/>
  <c r="Y49" i="3"/>
  <c r="X49" i="3"/>
  <c r="W49" i="3"/>
  <c r="V49" i="3"/>
  <c r="U49" i="3"/>
  <c r="T49" i="3"/>
  <c r="S49" i="3"/>
  <c r="R49" i="3"/>
  <c r="Q49" i="3"/>
  <c r="P49" i="3"/>
  <c r="AA48" i="3"/>
  <c r="Z48" i="3"/>
  <c r="Y48" i="3"/>
  <c r="X48" i="3"/>
  <c r="W48" i="3"/>
  <c r="V48" i="3"/>
  <c r="U48" i="3"/>
  <c r="T48" i="3"/>
  <c r="S48" i="3"/>
  <c r="R48" i="3"/>
  <c r="Q48" i="3"/>
  <c r="P48" i="3"/>
  <c r="AA47" i="3"/>
  <c r="Z47" i="3"/>
  <c r="Y47" i="3"/>
  <c r="X47" i="3"/>
  <c r="W47" i="3"/>
  <c r="V47" i="3"/>
  <c r="U47" i="3"/>
  <c r="T47" i="3"/>
  <c r="S47" i="3"/>
  <c r="R47" i="3"/>
  <c r="Q47" i="3"/>
  <c r="P47" i="3"/>
  <c r="AA46" i="3"/>
  <c r="Z46" i="3"/>
  <c r="Y46" i="3"/>
  <c r="X46" i="3"/>
  <c r="W46" i="3"/>
  <c r="V46" i="3"/>
  <c r="U46" i="3"/>
  <c r="T46" i="3"/>
  <c r="S46" i="3"/>
  <c r="R46" i="3"/>
  <c r="Q46" i="3"/>
  <c r="P46" i="3"/>
  <c r="AA45" i="3"/>
  <c r="Z45" i="3"/>
  <c r="Y45" i="3"/>
  <c r="X45" i="3"/>
  <c r="W45" i="3"/>
  <c r="V45" i="3"/>
  <c r="U45" i="3"/>
  <c r="T45" i="3"/>
  <c r="S45" i="3"/>
  <c r="R45" i="3"/>
  <c r="Q45" i="3"/>
  <c r="P45" i="3"/>
  <c r="AA44" i="3"/>
  <c r="Z44" i="3"/>
  <c r="Y44" i="3"/>
  <c r="X44" i="3"/>
  <c r="W44" i="3"/>
  <c r="V44" i="3"/>
  <c r="U44" i="3"/>
  <c r="T44" i="3"/>
  <c r="S44" i="3"/>
  <c r="R44" i="3"/>
  <c r="Q44" i="3"/>
  <c r="P44" i="3"/>
  <c r="AA43" i="3"/>
  <c r="Z43" i="3"/>
  <c r="Y43" i="3"/>
  <c r="X43" i="3"/>
  <c r="W43" i="3"/>
  <c r="V43" i="3"/>
  <c r="U43" i="3"/>
  <c r="T43" i="3"/>
  <c r="S43" i="3"/>
  <c r="R43" i="3"/>
  <c r="Q43" i="3"/>
  <c r="P43" i="3"/>
  <c r="AA42" i="3"/>
  <c r="Z42" i="3"/>
  <c r="Y42" i="3"/>
  <c r="X42" i="3"/>
  <c r="W42" i="3"/>
  <c r="V42" i="3"/>
  <c r="U42" i="3"/>
  <c r="T42" i="3"/>
  <c r="S42" i="3"/>
  <c r="R42" i="3"/>
  <c r="Q42" i="3"/>
  <c r="P42" i="3"/>
  <c r="AA41" i="3"/>
  <c r="Z41" i="3"/>
  <c r="Y41" i="3"/>
  <c r="X41" i="3"/>
  <c r="W41" i="3"/>
  <c r="V41" i="3"/>
  <c r="U41" i="3"/>
  <c r="T41" i="3"/>
  <c r="S41" i="3"/>
  <c r="R41" i="3"/>
  <c r="Q41" i="3"/>
  <c r="P41" i="3"/>
  <c r="AA40" i="3"/>
  <c r="Z40" i="3"/>
  <c r="Y40" i="3"/>
  <c r="X40" i="3"/>
  <c r="W40" i="3"/>
  <c r="V40" i="3"/>
  <c r="U40" i="3"/>
  <c r="T40" i="3"/>
  <c r="S40" i="3"/>
  <c r="R40" i="3"/>
  <c r="Q40" i="3"/>
  <c r="P40" i="3"/>
  <c r="AA39" i="3"/>
  <c r="Z39" i="3"/>
  <c r="Y39" i="3"/>
  <c r="X39" i="3"/>
  <c r="W39" i="3"/>
  <c r="V39" i="3"/>
  <c r="U39" i="3"/>
  <c r="T39" i="3"/>
  <c r="S39" i="3"/>
  <c r="R39" i="3"/>
  <c r="Q39" i="3"/>
  <c r="P39" i="3"/>
  <c r="AA38" i="3"/>
  <c r="Z38" i="3"/>
  <c r="Y38" i="3"/>
  <c r="X38" i="3"/>
  <c r="W38" i="3"/>
  <c r="V38" i="3"/>
  <c r="U38" i="3"/>
  <c r="T38" i="3"/>
  <c r="S38" i="3"/>
  <c r="R38" i="3"/>
  <c r="Q38" i="3"/>
  <c r="P38" i="3"/>
  <c r="AA37" i="3"/>
  <c r="Z37" i="3"/>
  <c r="Y37" i="3"/>
  <c r="X37" i="3"/>
  <c r="W37" i="3"/>
  <c r="V37" i="3"/>
  <c r="U37" i="3"/>
  <c r="T37" i="3"/>
  <c r="S37" i="3"/>
  <c r="R37" i="3"/>
  <c r="Q37" i="3"/>
  <c r="P37" i="3"/>
  <c r="AA36" i="3"/>
  <c r="Z36" i="3"/>
  <c r="Y36" i="3"/>
  <c r="X36" i="3"/>
  <c r="W36" i="3"/>
  <c r="V36" i="3"/>
  <c r="U36" i="3"/>
  <c r="T36" i="3"/>
  <c r="S36" i="3"/>
  <c r="R36" i="3"/>
  <c r="Q36" i="3"/>
  <c r="P36" i="3"/>
  <c r="AA35" i="3"/>
  <c r="Z35" i="3"/>
  <c r="Y35" i="3"/>
  <c r="X35" i="3"/>
  <c r="W35" i="3"/>
  <c r="V35" i="3"/>
  <c r="U35" i="3"/>
  <c r="T35" i="3"/>
  <c r="S35" i="3"/>
  <c r="R35" i="3"/>
  <c r="Q35" i="3"/>
  <c r="P35" i="3"/>
  <c r="AA34" i="3"/>
  <c r="Z34" i="3"/>
  <c r="Y34" i="3"/>
  <c r="X34" i="3"/>
  <c r="W34" i="3"/>
  <c r="V34" i="3"/>
  <c r="U34" i="3"/>
  <c r="T34" i="3"/>
  <c r="S34" i="3"/>
  <c r="R34" i="3"/>
  <c r="Q34" i="3"/>
  <c r="P34" i="3"/>
  <c r="AA33" i="3"/>
  <c r="Z33" i="3"/>
  <c r="Y33" i="3"/>
  <c r="X33" i="3"/>
  <c r="W33" i="3"/>
  <c r="V33" i="3"/>
  <c r="U33" i="3"/>
  <c r="T33" i="3"/>
  <c r="S33" i="3"/>
  <c r="R33" i="3"/>
  <c r="Q33" i="3"/>
  <c r="P33" i="3"/>
  <c r="AA32" i="3"/>
  <c r="Z32" i="3"/>
  <c r="Y32" i="3"/>
  <c r="X32" i="3"/>
  <c r="W32" i="3"/>
  <c r="V32" i="3"/>
  <c r="U32" i="3"/>
  <c r="T32" i="3"/>
  <c r="S32" i="3"/>
  <c r="R32" i="3"/>
  <c r="Q32" i="3"/>
  <c r="P32" i="3"/>
  <c r="AA31" i="3"/>
  <c r="Z31" i="3"/>
  <c r="Y31" i="3"/>
  <c r="X31" i="3"/>
  <c r="W31" i="3"/>
  <c r="V31" i="3"/>
  <c r="U31" i="3"/>
  <c r="T31" i="3"/>
  <c r="S31" i="3"/>
  <c r="R31" i="3"/>
  <c r="Q31" i="3"/>
  <c r="P31" i="3"/>
  <c r="AA30" i="3"/>
  <c r="Z30" i="3"/>
  <c r="Y30" i="3"/>
  <c r="X30" i="3"/>
  <c r="W30" i="3"/>
  <c r="V30" i="3"/>
  <c r="U30" i="3"/>
  <c r="T30" i="3"/>
  <c r="S30" i="3"/>
  <c r="R30" i="3"/>
  <c r="Q30" i="3"/>
  <c r="P30" i="3"/>
  <c r="AA29" i="3"/>
  <c r="Z29" i="3"/>
  <c r="Y29" i="3"/>
  <c r="X29" i="3"/>
  <c r="W29" i="3"/>
  <c r="V29" i="3"/>
  <c r="U29" i="3"/>
  <c r="T29" i="3"/>
  <c r="S29" i="3"/>
  <c r="R29" i="3"/>
  <c r="Q29" i="3"/>
  <c r="P29" i="3"/>
  <c r="AA28" i="3"/>
  <c r="Z28" i="3"/>
  <c r="Y28" i="3"/>
  <c r="X28" i="3"/>
  <c r="W28" i="3"/>
  <c r="V28" i="3"/>
  <c r="U28" i="3"/>
  <c r="T28" i="3"/>
  <c r="S28" i="3"/>
  <c r="R28" i="3"/>
  <c r="Q28" i="3"/>
  <c r="P28" i="3"/>
  <c r="AA27" i="3"/>
  <c r="Z27" i="3"/>
  <c r="Y27" i="3"/>
  <c r="X27" i="3"/>
  <c r="W27" i="3"/>
  <c r="V27" i="3"/>
  <c r="U27" i="3"/>
  <c r="T27" i="3"/>
  <c r="S27" i="3"/>
  <c r="R27" i="3"/>
  <c r="Q27" i="3"/>
  <c r="P27" i="3"/>
  <c r="AA26" i="3"/>
  <c r="Z26" i="3"/>
  <c r="Y26" i="3"/>
  <c r="X26" i="3"/>
  <c r="W26" i="3"/>
  <c r="V26" i="3"/>
  <c r="U26" i="3"/>
  <c r="T26" i="3"/>
  <c r="S26" i="3"/>
  <c r="R26" i="3"/>
  <c r="Q26" i="3"/>
  <c r="P26" i="3"/>
  <c r="AA25" i="3"/>
  <c r="Z25" i="3"/>
  <c r="Y25" i="3"/>
  <c r="X25" i="3"/>
  <c r="W25" i="3"/>
  <c r="V25" i="3"/>
  <c r="U25" i="3"/>
  <c r="T25" i="3"/>
  <c r="S25" i="3"/>
  <c r="R25" i="3"/>
  <c r="Q25" i="3"/>
  <c r="P25" i="3"/>
  <c r="AA24" i="3"/>
  <c r="Z24" i="3"/>
  <c r="Y24" i="3"/>
  <c r="X24" i="3"/>
  <c r="W24" i="3"/>
  <c r="V24" i="3"/>
  <c r="U24" i="3"/>
  <c r="T24" i="3"/>
  <c r="S24" i="3"/>
  <c r="R24" i="3"/>
  <c r="Q24" i="3"/>
  <c r="P24" i="3"/>
  <c r="AA23" i="3"/>
  <c r="Z23" i="3"/>
  <c r="Y23" i="3"/>
  <c r="X23" i="3"/>
  <c r="W23" i="3"/>
  <c r="V23" i="3"/>
  <c r="U23" i="3"/>
  <c r="T23" i="3"/>
  <c r="S23" i="3"/>
  <c r="R23" i="3"/>
  <c r="Q23" i="3"/>
  <c r="P23" i="3"/>
  <c r="AA22" i="3"/>
  <c r="Z22" i="3"/>
  <c r="Y22" i="3"/>
  <c r="X22" i="3"/>
  <c r="W22" i="3"/>
  <c r="V22" i="3"/>
  <c r="U22" i="3"/>
  <c r="T22" i="3"/>
  <c r="S22" i="3"/>
  <c r="R22" i="3"/>
  <c r="Q22" i="3"/>
  <c r="P22" i="3"/>
  <c r="AA21" i="3"/>
  <c r="Z21" i="3"/>
  <c r="Y21" i="3"/>
  <c r="X21" i="3"/>
  <c r="W21" i="3"/>
  <c r="V21" i="3"/>
  <c r="U21" i="3"/>
  <c r="T21" i="3"/>
  <c r="S21" i="3"/>
  <c r="R21" i="3"/>
  <c r="Q21" i="3"/>
  <c r="AA20" i="3"/>
  <c r="Z20" i="3"/>
  <c r="Y20" i="3"/>
  <c r="X20" i="3"/>
  <c r="W20" i="3"/>
  <c r="V20" i="3"/>
  <c r="U20" i="3"/>
  <c r="T20" i="3"/>
  <c r="S20" i="3"/>
  <c r="R20" i="3"/>
  <c r="Q20" i="3"/>
  <c r="P20" i="3"/>
  <c r="AA19" i="3"/>
  <c r="Z19" i="3"/>
  <c r="Y19" i="3"/>
  <c r="X19" i="3"/>
  <c r="W19" i="3"/>
  <c r="V19" i="3"/>
  <c r="U19" i="3"/>
  <c r="T19" i="3"/>
  <c r="S19" i="3"/>
  <c r="R19" i="3"/>
  <c r="Q19" i="3"/>
  <c r="P19" i="3"/>
  <c r="AA18" i="3"/>
  <c r="Z18" i="3"/>
  <c r="Y18" i="3"/>
  <c r="X18" i="3"/>
  <c r="W18" i="3"/>
  <c r="V18" i="3"/>
  <c r="U18" i="3"/>
  <c r="T18" i="3"/>
  <c r="S18" i="3"/>
  <c r="R18" i="3"/>
  <c r="Q18" i="3"/>
  <c r="P18" i="3"/>
  <c r="AA17" i="3"/>
  <c r="Y17" i="3"/>
  <c r="X17" i="3"/>
  <c r="W17" i="3"/>
  <c r="V17" i="3"/>
  <c r="U17" i="3"/>
  <c r="T17" i="3"/>
  <c r="S17" i="3"/>
  <c r="R17" i="3"/>
  <c r="Q17" i="3"/>
  <c r="P17" i="3"/>
  <c r="AA16" i="3"/>
  <c r="Z16" i="3"/>
  <c r="Y16" i="3"/>
  <c r="X16" i="3"/>
  <c r="W16" i="3"/>
  <c r="V16" i="3"/>
  <c r="U16" i="3"/>
  <c r="T16" i="3"/>
  <c r="S16" i="3"/>
  <c r="R16" i="3"/>
  <c r="Q16" i="3"/>
  <c r="P16" i="3"/>
  <c r="AA15" i="3"/>
  <c r="Z15" i="3"/>
  <c r="Y15" i="3"/>
  <c r="X15" i="3"/>
  <c r="W15" i="3"/>
  <c r="V15" i="3"/>
  <c r="U15" i="3"/>
  <c r="T15" i="3"/>
  <c r="S15" i="3"/>
  <c r="R15" i="3"/>
  <c r="Q15" i="3"/>
  <c r="P15" i="3"/>
  <c r="AA14" i="3"/>
  <c r="Z14" i="3"/>
  <c r="Y14" i="3"/>
  <c r="X14" i="3"/>
  <c r="W14" i="3"/>
  <c r="V14" i="3"/>
  <c r="U14" i="3"/>
  <c r="T14" i="3"/>
  <c r="S14" i="3"/>
  <c r="R14" i="3"/>
  <c r="Q14" i="3"/>
  <c r="P14" i="3"/>
  <c r="AA13" i="3"/>
  <c r="Z13" i="3"/>
  <c r="Y13" i="3"/>
  <c r="X13" i="3"/>
  <c r="W13" i="3"/>
  <c r="V13" i="3"/>
  <c r="U13" i="3"/>
  <c r="T13" i="3"/>
  <c r="S13" i="3"/>
  <c r="R13" i="3"/>
  <c r="Q13" i="3"/>
  <c r="P13" i="3"/>
  <c r="AA12" i="3"/>
  <c r="Z12" i="3"/>
  <c r="Y12" i="3"/>
  <c r="X12" i="3"/>
  <c r="W12" i="3"/>
  <c r="V12" i="3"/>
  <c r="U12" i="3"/>
  <c r="T12" i="3"/>
  <c r="S12" i="3"/>
  <c r="R12" i="3"/>
  <c r="Q12" i="3"/>
  <c r="P12" i="3"/>
  <c r="AA11" i="3"/>
  <c r="Z11" i="3"/>
  <c r="Y11" i="3"/>
  <c r="X11" i="3"/>
  <c r="W11" i="3"/>
  <c r="V11" i="3"/>
  <c r="U11" i="3"/>
  <c r="T11" i="3"/>
  <c r="S11" i="3"/>
  <c r="R11" i="3"/>
  <c r="Q11" i="3"/>
  <c r="P11" i="3"/>
  <c r="AA10" i="3"/>
  <c r="Z10" i="3"/>
  <c r="Y10" i="3"/>
  <c r="X10" i="3"/>
  <c r="W10" i="3"/>
  <c r="V10" i="3"/>
  <c r="U10" i="3"/>
  <c r="T10" i="3"/>
  <c r="S10" i="3"/>
  <c r="R10" i="3"/>
  <c r="Q10" i="3"/>
  <c r="P10" i="3"/>
  <c r="AA9" i="3"/>
  <c r="Z9" i="3"/>
  <c r="Y9" i="3"/>
  <c r="X9" i="3"/>
  <c r="W9" i="3"/>
  <c r="V9" i="3"/>
  <c r="U9" i="3"/>
  <c r="T9" i="3"/>
  <c r="S9" i="3"/>
  <c r="R9" i="3"/>
  <c r="Q9" i="3"/>
  <c r="P9" i="3"/>
  <c r="AA8" i="3"/>
  <c r="Z8" i="3"/>
  <c r="Y8" i="3"/>
  <c r="X8" i="3"/>
  <c r="W8" i="3"/>
  <c r="V8" i="3"/>
  <c r="U8" i="3"/>
  <c r="T8" i="3"/>
  <c r="S8" i="3"/>
  <c r="R8" i="3"/>
  <c r="Q8" i="3"/>
  <c r="P8" i="3"/>
  <c r="AA7" i="3"/>
  <c r="Z7" i="3"/>
  <c r="Y7" i="3"/>
  <c r="W7" i="3"/>
  <c r="V7" i="3"/>
  <c r="U7" i="3"/>
  <c r="T7" i="3"/>
  <c r="S7" i="3"/>
  <c r="R7" i="3"/>
  <c r="Q7" i="3"/>
  <c r="P7" i="3"/>
  <c r="AA6" i="3"/>
  <c r="Z6" i="3"/>
  <c r="Y6" i="3"/>
  <c r="X6" i="3"/>
  <c r="W6" i="3"/>
  <c r="V6" i="3"/>
  <c r="U6" i="3"/>
  <c r="T6" i="3"/>
  <c r="S6" i="3"/>
  <c r="R6" i="3"/>
  <c r="Q6" i="3"/>
  <c r="P6" i="3"/>
  <c r="AA5" i="3"/>
  <c r="Z5" i="3"/>
  <c r="Y5" i="3"/>
  <c r="X5" i="3"/>
  <c r="W5" i="3"/>
  <c r="V5" i="3"/>
  <c r="U5" i="3"/>
  <c r="T5" i="3"/>
  <c r="S5" i="3"/>
  <c r="R5" i="3"/>
  <c r="Q5" i="3"/>
  <c r="P5" i="3"/>
  <c r="AA4" i="3"/>
  <c r="Z4" i="3"/>
  <c r="Y4" i="3"/>
  <c r="X4" i="3"/>
  <c r="W4" i="3"/>
  <c r="V4" i="3"/>
  <c r="U4" i="3"/>
  <c r="T4" i="3"/>
  <c r="S4" i="3"/>
  <c r="R4" i="3"/>
  <c r="Q4" i="3"/>
  <c r="P4" i="3"/>
  <c r="AA3" i="3"/>
  <c r="Z3" i="3"/>
  <c r="Y3" i="3"/>
  <c r="X3" i="3"/>
  <c r="W3" i="3"/>
  <c r="V3" i="3"/>
  <c r="U3" i="3"/>
  <c r="T3" i="3"/>
  <c r="S3" i="3"/>
  <c r="R3" i="3"/>
  <c r="Q3" i="3"/>
  <c r="P3" i="3"/>
  <c r="AA501" i="2"/>
  <c r="Z501" i="2"/>
  <c r="Y501" i="2"/>
  <c r="X501" i="2"/>
  <c r="W501" i="2"/>
  <c r="V501" i="2"/>
  <c r="U501" i="2"/>
  <c r="T501" i="2"/>
  <c r="S501" i="2"/>
  <c r="R501" i="2"/>
  <c r="Q501" i="2"/>
  <c r="P501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AA99" i="2"/>
  <c r="Z99" i="2"/>
  <c r="Y99" i="2"/>
  <c r="X99" i="2"/>
  <c r="W99" i="2"/>
  <c r="V99" i="2"/>
  <c r="U99" i="2"/>
  <c r="T99" i="2"/>
  <c r="S99" i="2"/>
  <c r="R99" i="2"/>
  <c r="Q99" i="2"/>
  <c r="P99" i="2"/>
  <c r="AA98" i="2"/>
  <c r="Z98" i="2"/>
  <c r="Y98" i="2"/>
  <c r="X98" i="2"/>
  <c r="W98" i="2"/>
  <c r="V98" i="2"/>
  <c r="U98" i="2"/>
  <c r="T98" i="2"/>
  <c r="S98" i="2"/>
  <c r="R98" i="2"/>
  <c r="Q98" i="2"/>
  <c r="P98" i="2"/>
  <c r="AA97" i="2"/>
  <c r="Z97" i="2"/>
  <c r="Y97" i="2"/>
  <c r="X97" i="2"/>
  <c r="W97" i="2"/>
  <c r="V97" i="2"/>
  <c r="U97" i="2"/>
  <c r="T97" i="2"/>
  <c r="S97" i="2"/>
  <c r="R97" i="2"/>
  <c r="Q97" i="2"/>
  <c r="P97" i="2"/>
  <c r="AA96" i="2"/>
  <c r="Z96" i="2"/>
  <c r="Y96" i="2"/>
  <c r="X96" i="2"/>
  <c r="W96" i="2"/>
  <c r="V96" i="2"/>
  <c r="U96" i="2"/>
  <c r="T96" i="2"/>
  <c r="S96" i="2"/>
  <c r="R96" i="2"/>
  <c r="Q96" i="2"/>
  <c r="P96" i="2"/>
  <c r="AA95" i="2"/>
  <c r="Z95" i="2"/>
  <c r="Y95" i="2"/>
  <c r="X95" i="2"/>
  <c r="W95" i="2"/>
  <c r="V95" i="2"/>
  <c r="U95" i="2"/>
  <c r="T95" i="2"/>
  <c r="S95" i="2"/>
  <c r="R95" i="2"/>
  <c r="Q95" i="2"/>
  <c r="P95" i="2"/>
  <c r="AA94" i="2"/>
  <c r="Z94" i="2"/>
  <c r="Y94" i="2"/>
  <c r="X94" i="2"/>
  <c r="W94" i="2"/>
  <c r="V94" i="2"/>
  <c r="U94" i="2"/>
  <c r="T94" i="2"/>
  <c r="S94" i="2"/>
  <c r="R94" i="2"/>
  <c r="Q94" i="2"/>
  <c r="P94" i="2"/>
  <c r="AA93" i="2"/>
  <c r="Z93" i="2"/>
  <c r="Y93" i="2"/>
  <c r="X93" i="2"/>
  <c r="W93" i="2"/>
  <c r="V93" i="2"/>
  <c r="U93" i="2"/>
  <c r="T93" i="2"/>
  <c r="S93" i="2"/>
  <c r="R93" i="2"/>
  <c r="Q93" i="2"/>
  <c r="P93" i="2"/>
  <c r="AA92" i="2"/>
  <c r="Z92" i="2"/>
  <c r="Y92" i="2"/>
  <c r="X92" i="2"/>
  <c r="W92" i="2"/>
  <c r="V92" i="2"/>
  <c r="U92" i="2"/>
  <c r="T92" i="2"/>
  <c r="S92" i="2"/>
  <c r="R92" i="2"/>
  <c r="Q92" i="2"/>
  <c r="P92" i="2"/>
  <c r="AA91" i="2"/>
  <c r="Z91" i="2"/>
  <c r="Y91" i="2"/>
  <c r="X91" i="2"/>
  <c r="W91" i="2"/>
  <c r="V91" i="2"/>
  <c r="U91" i="2"/>
  <c r="T91" i="2"/>
  <c r="S91" i="2"/>
  <c r="R91" i="2"/>
  <c r="Q91" i="2"/>
  <c r="P91" i="2"/>
  <c r="AA90" i="2"/>
  <c r="Z90" i="2"/>
  <c r="Y90" i="2"/>
  <c r="X90" i="2"/>
  <c r="W90" i="2"/>
  <c r="V90" i="2"/>
  <c r="U90" i="2"/>
  <c r="T90" i="2"/>
  <c r="S90" i="2"/>
  <c r="R90" i="2"/>
  <c r="Q90" i="2"/>
  <c r="P90" i="2"/>
  <c r="AA89" i="2"/>
  <c r="Z89" i="2"/>
  <c r="Y89" i="2"/>
  <c r="X89" i="2"/>
  <c r="W89" i="2"/>
  <c r="V89" i="2"/>
  <c r="U89" i="2"/>
  <c r="T89" i="2"/>
  <c r="S89" i="2"/>
  <c r="R89" i="2"/>
  <c r="Q89" i="2"/>
  <c r="P89" i="2"/>
  <c r="AA88" i="2"/>
  <c r="Z88" i="2"/>
  <c r="Y88" i="2"/>
  <c r="X88" i="2"/>
  <c r="W88" i="2"/>
  <c r="V88" i="2"/>
  <c r="U88" i="2"/>
  <c r="T88" i="2"/>
  <c r="S88" i="2"/>
  <c r="R88" i="2"/>
  <c r="Q88" i="2"/>
  <c r="P88" i="2"/>
  <c r="AA87" i="2"/>
  <c r="Z87" i="2"/>
  <c r="Y87" i="2"/>
  <c r="X87" i="2"/>
  <c r="W87" i="2"/>
  <c r="V87" i="2"/>
  <c r="U87" i="2"/>
  <c r="T87" i="2"/>
  <c r="S87" i="2"/>
  <c r="R87" i="2"/>
  <c r="Q87" i="2"/>
  <c r="P87" i="2"/>
  <c r="AA86" i="2"/>
  <c r="Z86" i="2"/>
  <c r="Y86" i="2"/>
  <c r="X86" i="2"/>
  <c r="W86" i="2"/>
  <c r="V86" i="2"/>
  <c r="U86" i="2"/>
  <c r="T86" i="2"/>
  <c r="S86" i="2"/>
  <c r="R86" i="2"/>
  <c r="Q86" i="2"/>
  <c r="P86" i="2"/>
  <c r="AA85" i="2"/>
  <c r="Z85" i="2"/>
  <c r="Y85" i="2"/>
  <c r="X85" i="2"/>
  <c r="W85" i="2"/>
  <c r="V85" i="2"/>
  <c r="U85" i="2"/>
  <c r="T85" i="2"/>
  <c r="S85" i="2"/>
  <c r="R85" i="2"/>
  <c r="Q85" i="2"/>
  <c r="P85" i="2"/>
  <c r="AA84" i="2"/>
  <c r="Z84" i="2"/>
  <c r="Y84" i="2"/>
  <c r="X84" i="2"/>
  <c r="W84" i="2"/>
  <c r="V84" i="2"/>
  <c r="U84" i="2"/>
  <c r="T84" i="2"/>
  <c r="S84" i="2"/>
  <c r="R84" i="2"/>
  <c r="Q84" i="2"/>
  <c r="P84" i="2"/>
  <c r="AA83" i="2"/>
  <c r="Z83" i="2"/>
  <c r="Y83" i="2"/>
  <c r="X83" i="2"/>
  <c r="W83" i="2"/>
  <c r="V83" i="2"/>
  <c r="U83" i="2"/>
  <c r="T83" i="2"/>
  <c r="S83" i="2"/>
  <c r="R83" i="2"/>
  <c r="Q83" i="2"/>
  <c r="P83" i="2"/>
  <c r="AA82" i="2"/>
  <c r="Z82" i="2"/>
  <c r="Y82" i="2"/>
  <c r="X82" i="2"/>
  <c r="W82" i="2"/>
  <c r="V82" i="2"/>
  <c r="U82" i="2"/>
  <c r="T82" i="2"/>
  <c r="S82" i="2"/>
  <c r="R82" i="2"/>
  <c r="Q82" i="2"/>
  <c r="P82" i="2"/>
  <c r="AA81" i="2"/>
  <c r="Z81" i="2"/>
  <c r="Y81" i="2"/>
  <c r="X81" i="2"/>
  <c r="W81" i="2"/>
  <c r="V81" i="2"/>
  <c r="U81" i="2"/>
  <c r="T81" i="2"/>
  <c r="S81" i="2"/>
  <c r="R81" i="2"/>
  <c r="Q81" i="2"/>
  <c r="P81" i="2"/>
  <c r="AA80" i="2"/>
  <c r="Z80" i="2"/>
  <c r="Y80" i="2"/>
  <c r="X80" i="2"/>
  <c r="W80" i="2"/>
  <c r="V80" i="2"/>
  <c r="U80" i="2"/>
  <c r="T80" i="2"/>
  <c r="S80" i="2"/>
  <c r="R80" i="2"/>
  <c r="Q80" i="2"/>
  <c r="P80" i="2"/>
  <c r="AA79" i="2"/>
  <c r="Z79" i="2"/>
  <c r="Y79" i="2"/>
  <c r="X79" i="2"/>
  <c r="W79" i="2"/>
  <c r="V79" i="2"/>
  <c r="U79" i="2"/>
  <c r="T79" i="2"/>
  <c r="S79" i="2"/>
  <c r="R79" i="2"/>
  <c r="Q79" i="2"/>
  <c r="P79" i="2"/>
  <c r="AA78" i="2"/>
  <c r="Z78" i="2"/>
  <c r="Y78" i="2"/>
  <c r="X78" i="2"/>
  <c r="W78" i="2"/>
  <c r="V78" i="2"/>
  <c r="U78" i="2"/>
  <c r="T78" i="2"/>
  <c r="S78" i="2"/>
  <c r="R78" i="2"/>
  <c r="Q78" i="2"/>
  <c r="P78" i="2"/>
  <c r="AA77" i="2"/>
  <c r="Z77" i="2"/>
  <c r="Y77" i="2"/>
  <c r="X77" i="2"/>
  <c r="W77" i="2"/>
  <c r="V77" i="2"/>
  <c r="U77" i="2"/>
  <c r="T77" i="2"/>
  <c r="S77" i="2"/>
  <c r="R77" i="2"/>
  <c r="Q77" i="2"/>
  <c r="P77" i="2"/>
  <c r="AA76" i="2"/>
  <c r="Z76" i="2"/>
  <c r="Y76" i="2"/>
  <c r="X76" i="2"/>
  <c r="W76" i="2"/>
  <c r="V76" i="2"/>
  <c r="U76" i="2"/>
  <c r="T76" i="2"/>
  <c r="S76" i="2"/>
  <c r="R76" i="2"/>
  <c r="Q76" i="2"/>
  <c r="P76" i="2"/>
  <c r="AA75" i="2"/>
  <c r="Z75" i="2"/>
  <c r="Y75" i="2"/>
  <c r="X75" i="2"/>
  <c r="W75" i="2"/>
  <c r="V75" i="2"/>
  <c r="U75" i="2"/>
  <c r="T75" i="2"/>
  <c r="S75" i="2"/>
  <c r="R75" i="2"/>
  <c r="Q75" i="2"/>
  <c r="P75" i="2"/>
  <c r="AA74" i="2"/>
  <c r="Z74" i="2"/>
  <c r="Y74" i="2"/>
  <c r="X74" i="2"/>
  <c r="W74" i="2"/>
  <c r="V74" i="2"/>
  <c r="U74" i="2"/>
  <c r="T74" i="2"/>
  <c r="S74" i="2"/>
  <c r="R74" i="2"/>
  <c r="Q74" i="2"/>
  <c r="P74" i="2"/>
  <c r="AA73" i="2"/>
  <c r="Z73" i="2"/>
  <c r="Y73" i="2"/>
  <c r="X73" i="2"/>
  <c r="W73" i="2"/>
  <c r="V73" i="2"/>
  <c r="U73" i="2"/>
  <c r="T73" i="2"/>
  <c r="S73" i="2"/>
  <c r="R73" i="2"/>
  <c r="Q73" i="2"/>
  <c r="P73" i="2"/>
  <c r="AA72" i="2"/>
  <c r="Z72" i="2"/>
  <c r="Y72" i="2"/>
  <c r="X72" i="2"/>
  <c r="W72" i="2"/>
  <c r="V72" i="2"/>
  <c r="U72" i="2"/>
  <c r="T72" i="2"/>
  <c r="S72" i="2"/>
  <c r="R72" i="2"/>
  <c r="Q72" i="2"/>
  <c r="P72" i="2"/>
  <c r="AA71" i="2"/>
  <c r="Z71" i="2"/>
  <c r="Y71" i="2"/>
  <c r="X71" i="2"/>
  <c r="W71" i="2"/>
  <c r="V71" i="2"/>
  <c r="U71" i="2"/>
  <c r="T71" i="2"/>
  <c r="S71" i="2"/>
  <c r="R71" i="2"/>
  <c r="Q71" i="2"/>
  <c r="P71" i="2"/>
  <c r="AA70" i="2"/>
  <c r="Z70" i="2"/>
  <c r="Y70" i="2"/>
  <c r="X70" i="2"/>
  <c r="W70" i="2"/>
  <c r="V70" i="2"/>
  <c r="U70" i="2"/>
  <c r="T70" i="2"/>
  <c r="S70" i="2"/>
  <c r="R70" i="2"/>
  <c r="Q70" i="2"/>
  <c r="P70" i="2"/>
  <c r="AA69" i="2"/>
  <c r="Z69" i="2"/>
  <c r="Y69" i="2"/>
  <c r="X69" i="2"/>
  <c r="W69" i="2"/>
  <c r="V69" i="2"/>
  <c r="U69" i="2"/>
  <c r="T69" i="2"/>
  <c r="S69" i="2"/>
  <c r="R69" i="2"/>
  <c r="Q69" i="2"/>
  <c r="P69" i="2"/>
  <c r="AA68" i="2"/>
  <c r="Z68" i="2"/>
  <c r="Y68" i="2"/>
  <c r="X68" i="2"/>
  <c r="W68" i="2"/>
  <c r="V68" i="2"/>
  <c r="U68" i="2"/>
  <c r="T68" i="2"/>
  <c r="S68" i="2"/>
  <c r="R68" i="2"/>
  <c r="Q68" i="2"/>
  <c r="P68" i="2"/>
  <c r="AA67" i="2"/>
  <c r="Z67" i="2"/>
  <c r="Y67" i="2"/>
  <c r="X67" i="2"/>
  <c r="W67" i="2"/>
  <c r="V67" i="2"/>
  <c r="U67" i="2"/>
  <c r="T67" i="2"/>
  <c r="S67" i="2"/>
  <c r="R67" i="2"/>
  <c r="Q67" i="2"/>
  <c r="P67" i="2"/>
  <c r="AA66" i="2"/>
  <c r="Z66" i="2"/>
  <c r="Y66" i="2"/>
  <c r="X66" i="2"/>
  <c r="W66" i="2"/>
  <c r="V66" i="2"/>
  <c r="U66" i="2"/>
  <c r="T66" i="2"/>
  <c r="S66" i="2"/>
  <c r="R66" i="2"/>
  <c r="Q66" i="2"/>
  <c r="P66" i="2"/>
  <c r="AA65" i="2"/>
  <c r="Z65" i="2"/>
  <c r="Y65" i="2"/>
  <c r="X65" i="2"/>
  <c r="W65" i="2"/>
  <c r="V65" i="2"/>
  <c r="U65" i="2"/>
  <c r="T65" i="2"/>
  <c r="S65" i="2"/>
  <c r="R65" i="2"/>
  <c r="Q65" i="2"/>
  <c r="P65" i="2"/>
  <c r="AA64" i="2"/>
  <c r="Z64" i="2"/>
  <c r="Y64" i="2"/>
  <c r="X64" i="2"/>
  <c r="W64" i="2"/>
  <c r="V64" i="2"/>
  <c r="U64" i="2"/>
  <c r="T64" i="2"/>
  <c r="S64" i="2"/>
  <c r="R64" i="2"/>
  <c r="Q64" i="2"/>
  <c r="P64" i="2"/>
  <c r="AA63" i="2"/>
  <c r="Z63" i="2"/>
  <c r="Y63" i="2"/>
  <c r="X63" i="2"/>
  <c r="W63" i="2"/>
  <c r="V63" i="2"/>
  <c r="U63" i="2"/>
  <c r="T63" i="2"/>
  <c r="S63" i="2"/>
  <c r="R63" i="2"/>
  <c r="Q63" i="2"/>
  <c r="P63" i="2"/>
  <c r="AA62" i="2"/>
  <c r="Z62" i="2"/>
  <c r="Y62" i="2"/>
  <c r="X62" i="2"/>
  <c r="W62" i="2"/>
  <c r="V62" i="2"/>
  <c r="U62" i="2"/>
  <c r="T62" i="2"/>
  <c r="S62" i="2"/>
  <c r="R62" i="2"/>
  <c r="Q62" i="2"/>
  <c r="P62" i="2"/>
  <c r="AA61" i="2"/>
  <c r="Z61" i="2"/>
  <c r="Y61" i="2"/>
  <c r="X61" i="2"/>
  <c r="W61" i="2"/>
  <c r="V61" i="2"/>
  <c r="U61" i="2"/>
  <c r="T61" i="2"/>
  <c r="S61" i="2"/>
  <c r="R61" i="2"/>
  <c r="Q61" i="2"/>
  <c r="P61" i="2"/>
  <c r="AA60" i="2"/>
  <c r="Z60" i="2"/>
  <c r="Y60" i="2"/>
  <c r="X60" i="2"/>
  <c r="W60" i="2"/>
  <c r="V60" i="2"/>
  <c r="U60" i="2"/>
  <c r="T60" i="2"/>
  <c r="S60" i="2"/>
  <c r="R60" i="2"/>
  <c r="Q60" i="2"/>
  <c r="P60" i="2"/>
  <c r="AA59" i="2"/>
  <c r="Z59" i="2"/>
  <c r="Y59" i="2"/>
  <c r="X59" i="2"/>
  <c r="W59" i="2"/>
  <c r="V59" i="2"/>
  <c r="U59" i="2"/>
  <c r="T59" i="2"/>
  <c r="S59" i="2"/>
  <c r="R59" i="2"/>
  <c r="Q59" i="2"/>
  <c r="P59" i="2"/>
  <c r="AA58" i="2"/>
  <c r="Z58" i="2"/>
  <c r="Y58" i="2"/>
  <c r="X58" i="2"/>
  <c r="W58" i="2"/>
  <c r="V58" i="2"/>
  <c r="U58" i="2"/>
  <c r="T58" i="2"/>
  <c r="S58" i="2"/>
  <c r="R58" i="2"/>
  <c r="Q58" i="2"/>
  <c r="P58" i="2"/>
  <c r="AA57" i="2"/>
  <c r="Z57" i="2"/>
  <c r="Y57" i="2"/>
  <c r="X57" i="2"/>
  <c r="W57" i="2"/>
  <c r="V57" i="2"/>
  <c r="U57" i="2"/>
  <c r="T57" i="2"/>
  <c r="S57" i="2"/>
  <c r="R57" i="2"/>
  <c r="Q57" i="2"/>
  <c r="P57" i="2"/>
  <c r="AA56" i="2"/>
  <c r="Z56" i="2"/>
  <c r="Y56" i="2"/>
  <c r="X56" i="2"/>
  <c r="W56" i="2"/>
  <c r="V56" i="2"/>
  <c r="U56" i="2"/>
  <c r="T56" i="2"/>
  <c r="S56" i="2"/>
  <c r="R56" i="2"/>
  <c r="Q56" i="2"/>
  <c r="P56" i="2"/>
  <c r="AA55" i="2"/>
  <c r="Z55" i="2"/>
  <c r="Y55" i="2"/>
  <c r="X55" i="2"/>
  <c r="W55" i="2"/>
  <c r="V55" i="2"/>
  <c r="U55" i="2"/>
  <c r="T55" i="2"/>
  <c r="S55" i="2"/>
  <c r="R55" i="2"/>
  <c r="Q55" i="2"/>
  <c r="P55" i="2"/>
  <c r="AA54" i="2"/>
  <c r="Z54" i="2"/>
  <c r="Y54" i="2"/>
  <c r="X54" i="2"/>
  <c r="W54" i="2"/>
  <c r="V54" i="2"/>
  <c r="U54" i="2"/>
  <c r="T54" i="2"/>
  <c r="S54" i="2"/>
  <c r="R54" i="2"/>
  <c r="Q54" i="2"/>
  <c r="P54" i="2"/>
  <c r="AA53" i="2"/>
  <c r="Z53" i="2"/>
  <c r="Y53" i="2"/>
  <c r="X53" i="2"/>
  <c r="W53" i="2"/>
  <c r="V53" i="2"/>
  <c r="U53" i="2"/>
  <c r="T53" i="2"/>
  <c r="S53" i="2"/>
  <c r="R53" i="2"/>
  <c r="Q53" i="2"/>
  <c r="P53" i="2"/>
  <c r="AA52" i="2"/>
  <c r="Z52" i="2"/>
  <c r="Y52" i="2"/>
  <c r="X52" i="2"/>
  <c r="W52" i="2"/>
  <c r="V52" i="2"/>
  <c r="U52" i="2"/>
  <c r="T52" i="2"/>
  <c r="S52" i="2"/>
  <c r="R52" i="2"/>
  <c r="Q52" i="2"/>
  <c r="P52" i="2"/>
  <c r="AA51" i="2"/>
  <c r="Z51" i="2"/>
  <c r="Y51" i="2"/>
  <c r="X51" i="2"/>
  <c r="W51" i="2"/>
  <c r="V51" i="2"/>
  <c r="U51" i="2"/>
  <c r="T51" i="2"/>
  <c r="S51" i="2"/>
  <c r="R51" i="2"/>
  <c r="Q51" i="2"/>
  <c r="P51" i="2"/>
  <c r="AA50" i="2"/>
  <c r="Z50" i="2"/>
  <c r="Y50" i="2"/>
  <c r="X50" i="2"/>
  <c r="W50" i="2"/>
  <c r="V50" i="2"/>
  <c r="U50" i="2"/>
  <c r="T50" i="2"/>
  <c r="S50" i="2"/>
  <c r="R50" i="2"/>
  <c r="Q50" i="2"/>
  <c r="P50" i="2"/>
  <c r="AA49" i="2"/>
  <c r="Z49" i="2"/>
  <c r="Y49" i="2"/>
  <c r="X49" i="2"/>
  <c r="W49" i="2"/>
  <c r="V49" i="2"/>
  <c r="U49" i="2"/>
  <c r="T49" i="2"/>
  <c r="S49" i="2"/>
  <c r="R49" i="2"/>
  <c r="Q49" i="2"/>
  <c r="P49" i="2"/>
  <c r="AA48" i="2"/>
  <c r="Z48" i="2"/>
  <c r="Y48" i="2"/>
  <c r="X48" i="2"/>
  <c r="W48" i="2"/>
  <c r="V48" i="2"/>
  <c r="U48" i="2"/>
  <c r="T48" i="2"/>
  <c r="S48" i="2"/>
  <c r="R48" i="2"/>
  <c r="Q48" i="2"/>
  <c r="P48" i="2"/>
  <c r="AA47" i="2"/>
  <c r="Z47" i="2"/>
  <c r="Y47" i="2"/>
  <c r="X47" i="2"/>
  <c r="W47" i="2"/>
  <c r="V47" i="2"/>
  <c r="U47" i="2"/>
  <c r="T47" i="2"/>
  <c r="S47" i="2"/>
  <c r="R47" i="2"/>
  <c r="Q47" i="2"/>
  <c r="P47" i="2"/>
  <c r="AA46" i="2"/>
  <c r="Z46" i="2"/>
  <c r="Y46" i="2"/>
  <c r="X46" i="2"/>
  <c r="W46" i="2"/>
  <c r="V46" i="2"/>
  <c r="U46" i="2"/>
  <c r="T46" i="2"/>
  <c r="S46" i="2"/>
  <c r="R46" i="2"/>
  <c r="Q46" i="2"/>
  <c r="P46" i="2"/>
  <c r="AA45" i="2"/>
  <c r="Z45" i="2"/>
  <c r="Y45" i="2"/>
  <c r="X45" i="2"/>
  <c r="W45" i="2"/>
  <c r="V45" i="2"/>
  <c r="U45" i="2"/>
  <c r="T45" i="2"/>
  <c r="S45" i="2"/>
  <c r="R45" i="2"/>
  <c r="Q45" i="2"/>
  <c r="P45" i="2"/>
  <c r="AA44" i="2"/>
  <c r="Z44" i="2"/>
  <c r="Y44" i="2"/>
  <c r="X44" i="2"/>
  <c r="W44" i="2"/>
  <c r="V44" i="2"/>
  <c r="U44" i="2"/>
  <c r="T44" i="2"/>
  <c r="S44" i="2"/>
  <c r="R44" i="2"/>
  <c r="Q44" i="2"/>
  <c r="P44" i="2"/>
  <c r="AA43" i="2"/>
  <c r="Z43" i="2"/>
  <c r="Y43" i="2"/>
  <c r="X43" i="2"/>
  <c r="W43" i="2"/>
  <c r="V43" i="2"/>
  <c r="U43" i="2"/>
  <c r="T43" i="2"/>
  <c r="S43" i="2"/>
  <c r="R43" i="2"/>
  <c r="Q43" i="2"/>
  <c r="P43" i="2"/>
  <c r="AA42" i="2"/>
  <c r="Z42" i="2"/>
  <c r="Y42" i="2"/>
  <c r="X42" i="2"/>
  <c r="W42" i="2"/>
  <c r="V42" i="2"/>
  <c r="U42" i="2"/>
  <c r="T42" i="2"/>
  <c r="S42" i="2"/>
  <c r="R42" i="2"/>
  <c r="Q42" i="2"/>
  <c r="P42" i="2"/>
  <c r="AA41" i="2"/>
  <c r="Z41" i="2"/>
  <c r="Y41" i="2"/>
  <c r="X41" i="2"/>
  <c r="W41" i="2"/>
  <c r="V41" i="2"/>
  <c r="U41" i="2"/>
  <c r="T41" i="2"/>
  <c r="S41" i="2"/>
  <c r="R41" i="2"/>
  <c r="Q41" i="2"/>
  <c r="P41" i="2"/>
  <c r="AA40" i="2"/>
  <c r="Z40" i="2"/>
  <c r="Y40" i="2"/>
  <c r="X40" i="2"/>
  <c r="W40" i="2"/>
  <c r="V40" i="2"/>
  <c r="U40" i="2"/>
  <c r="T40" i="2"/>
  <c r="S40" i="2"/>
  <c r="R40" i="2"/>
  <c r="Q40" i="2"/>
  <c r="P40" i="2"/>
  <c r="AA39" i="2"/>
  <c r="Z39" i="2"/>
  <c r="Y39" i="2"/>
  <c r="X39" i="2"/>
  <c r="W39" i="2"/>
  <c r="V39" i="2"/>
  <c r="U39" i="2"/>
  <c r="T39" i="2"/>
  <c r="S39" i="2"/>
  <c r="R39" i="2"/>
  <c r="Q39" i="2"/>
  <c r="P39" i="2"/>
  <c r="AA38" i="2"/>
  <c r="Z38" i="2"/>
  <c r="Y38" i="2"/>
  <c r="X38" i="2"/>
  <c r="W38" i="2"/>
  <c r="V38" i="2"/>
  <c r="U38" i="2"/>
  <c r="T38" i="2"/>
  <c r="S38" i="2"/>
  <c r="R38" i="2"/>
  <c r="Q38" i="2"/>
  <c r="P38" i="2"/>
  <c r="AA37" i="2"/>
  <c r="Z37" i="2"/>
  <c r="Y37" i="2"/>
  <c r="X37" i="2"/>
  <c r="W37" i="2"/>
  <c r="V37" i="2"/>
  <c r="U37" i="2"/>
  <c r="T37" i="2"/>
  <c r="S37" i="2"/>
  <c r="R37" i="2"/>
  <c r="Q37" i="2"/>
  <c r="P37" i="2"/>
  <c r="AA36" i="2"/>
  <c r="Z36" i="2"/>
  <c r="Y36" i="2"/>
  <c r="X36" i="2"/>
  <c r="W36" i="2"/>
  <c r="V36" i="2"/>
  <c r="U36" i="2"/>
  <c r="T36" i="2"/>
  <c r="S36" i="2"/>
  <c r="R36" i="2"/>
  <c r="Q36" i="2"/>
  <c r="P36" i="2"/>
  <c r="AA35" i="2"/>
  <c r="Z35" i="2"/>
  <c r="Y35" i="2"/>
  <c r="X35" i="2"/>
  <c r="W35" i="2"/>
  <c r="V35" i="2"/>
  <c r="U35" i="2"/>
  <c r="T35" i="2"/>
  <c r="S35" i="2"/>
  <c r="R35" i="2"/>
  <c r="Q35" i="2"/>
  <c r="P35" i="2"/>
  <c r="AA34" i="2"/>
  <c r="Z34" i="2"/>
  <c r="Y34" i="2"/>
  <c r="X34" i="2"/>
  <c r="W34" i="2"/>
  <c r="V34" i="2"/>
  <c r="U34" i="2"/>
  <c r="T34" i="2"/>
  <c r="S34" i="2"/>
  <c r="R34" i="2"/>
  <c r="Q34" i="2"/>
  <c r="P34" i="2"/>
  <c r="AA33" i="2"/>
  <c r="Z33" i="2"/>
  <c r="Y33" i="2"/>
  <c r="X33" i="2"/>
  <c r="W33" i="2"/>
  <c r="V33" i="2"/>
  <c r="U33" i="2"/>
  <c r="T33" i="2"/>
  <c r="S33" i="2"/>
  <c r="R33" i="2"/>
  <c r="Q33" i="2"/>
  <c r="P33" i="2"/>
  <c r="AA32" i="2"/>
  <c r="Z32" i="2"/>
  <c r="Y32" i="2"/>
  <c r="X32" i="2"/>
  <c r="W32" i="2"/>
  <c r="V32" i="2"/>
  <c r="U32" i="2"/>
  <c r="T32" i="2"/>
  <c r="S32" i="2"/>
  <c r="R32" i="2"/>
  <c r="Q32" i="2"/>
  <c r="P32" i="2"/>
  <c r="AA31" i="2"/>
  <c r="Z31" i="2"/>
  <c r="Y31" i="2"/>
  <c r="X31" i="2"/>
  <c r="W31" i="2"/>
  <c r="V31" i="2"/>
  <c r="U31" i="2"/>
  <c r="T31" i="2"/>
  <c r="S31" i="2"/>
  <c r="R31" i="2"/>
  <c r="Q31" i="2"/>
  <c r="P31" i="2"/>
  <c r="AA30" i="2"/>
  <c r="Z30" i="2"/>
  <c r="Y30" i="2"/>
  <c r="X30" i="2"/>
  <c r="W30" i="2"/>
  <c r="V30" i="2"/>
  <c r="U30" i="2"/>
  <c r="T30" i="2"/>
  <c r="S30" i="2"/>
  <c r="R30" i="2"/>
  <c r="Q30" i="2"/>
  <c r="P30" i="2"/>
  <c r="AA29" i="2"/>
  <c r="Z29" i="2"/>
  <c r="Y29" i="2"/>
  <c r="X29" i="2"/>
  <c r="W29" i="2"/>
  <c r="V29" i="2"/>
  <c r="U29" i="2"/>
  <c r="T29" i="2"/>
  <c r="S29" i="2"/>
  <c r="R29" i="2"/>
  <c r="Q29" i="2"/>
  <c r="P29" i="2"/>
  <c r="AA28" i="2"/>
  <c r="Z28" i="2"/>
  <c r="Y28" i="2"/>
  <c r="X28" i="2"/>
  <c r="W28" i="2"/>
  <c r="V28" i="2"/>
  <c r="U28" i="2"/>
  <c r="T28" i="2"/>
  <c r="S28" i="2"/>
  <c r="R28" i="2"/>
  <c r="Q28" i="2"/>
  <c r="P28" i="2"/>
  <c r="AA27" i="2"/>
  <c r="Z27" i="2"/>
  <c r="Y27" i="2"/>
  <c r="X27" i="2"/>
  <c r="W27" i="2"/>
  <c r="V27" i="2"/>
  <c r="U27" i="2"/>
  <c r="T27" i="2"/>
  <c r="S27" i="2"/>
  <c r="R27" i="2"/>
  <c r="Q27" i="2"/>
  <c r="P27" i="2"/>
  <c r="AA26" i="2"/>
  <c r="Z26" i="2"/>
  <c r="Y26" i="2"/>
  <c r="X26" i="2"/>
  <c r="W26" i="2"/>
  <c r="V26" i="2"/>
  <c r="U26" i="2"/>
  <c r="T26" i="2"/>
  <c r="S26" i="2"/>
  <c r="R26" i="2"/>
  <c r="Q26" i="2"/>
  <c r="P26" i="2"/>
  <c r="AA25" i="2"/>
  <c r="Z25" i="2"/>
  <c r="Y25" i="2"/>
  <c r="X25" i="2"/>
  <c r="W25" i="2"/>
  <c r="V25" i="2"/>
  <c r="U25" i="2"/>
  <c r="T25" i="2"/>
  <c r="S25" i="2"/>
  <c r="R25" i="2"/>
  <c r="Q25" i="2"/>
  <c r="P25" i="2"/>
  <c r="AA24" i="2"/>
  <c r="Z24" i="2"/>
  <c r="Y24" i="2"/>
  <c r="X24" i="2"/>
  <c r="W24" i="2"/>
  <c r="V24" i="2"/>
  <c r="U24" i="2"/>
  <c r="T24" i="2"/>
  <c r="S24" i="2"/>
  <c r="R24" i="2"/>
  <c r="Q24" i="2"/>
  <c r="P24" i="2"/>
  <c r="AA23" i="2"/>
  <c r="Z23" i="2"/>
  <c r="Y23" i="2"/>
  <c r="X23" i="2"/>
  <c r="W23" i="2"/>
  <c r="V23" i="2"/>
  <c r="U23" i="2"/>
  <c r="T23" i="2"/>
  <c r="S23" i="2"/>
  <c r="R23" i="2"/>
  <c r="Q23" i="2"/>
  <c r="P23" i="2"/>
  <c r="AA22" i="2"/>
  <c r="Z22" i="2"/>
  <c r="Y22" i="2"/>
  <c r="X22" i="2"/>
  <c r="W22" i="2"/>
  <c r="V22" i="2"/>
  <c r="U22" i="2"/>
  <c r="T22" i="2"/>
  <c r="S22" i="2"/>
  <c r="R22" i="2"/>
  <c r="Q22" i="2"/>
  <c r="P22" i="2"/>
  <c r="AA21" i="2"/>
  <c r="Z21" i="2"/>
  <c r="Y21" i="2"/>
  <c r="X21" i="2"/>
  <c r="W21" i="2"/>
  <c r="V21" i="2"/>
  <c r="U21" i="2"/>
  <c r="T21" i="2"/>
  <c r="S21" i="2"/>
  <c r="R21" i="2"/>
  <c r="Q21" i="2"/>
  <c r="P21" i="2"/>
  <c r="AA20" i="2"/>
  <c r="Z20" i="2"/>
  <c r="Y20" i="2"/>
  <c r="X20" i="2"/>
  <c r="W20" i="2"/>
  <c r="V20" i="2"/>
  <c r="U20" i="2"/>
  <c r="T20" i="2"/>
  <c r="S20" i="2"/>
  <c r="R20" i="2"/>
  <c r="Q20" i="2"/>
  <c r="P20" i="2"/>
  <c r="AA19" i="2"/>
  <c r="Z19" i="2"/>
  <c r="Y19" i="2"/>
  <c r="X19" i="2"/>
  <c r="W19" i="2"/>
  <c r="V19" i="2"/>
  <c r="U19" i="2"/>
  <c r="T19" i="2"/>
  <c r="S19" i="2"/>
  <c r="R19" i="2"/>
  <c r="Q19" i="2"/>
  <c r="P19" i="2"/>
  <c r="AA18" i="2"/>
  <c r="Z18" i="2"/>
  <c r="Y18" i="2"/>
  <c r="X18" i="2"/>
  <c r="W18" i="2"/>
  <c r="V18" i="2"/>
  <c r="U18" i="2"/>
  <c r="T18" i="2"/>
  <c r="S18" i="2"/>
  <c r="R18" i="2"/>
  <c r="Q18" i="2"/>
  <c r="P18" i="2"/>
  <c r="AA17" i="2"/>
  <c r="Z17" i="2"/>
  <c r="Y17" i="2"/>
  <c r="X17" i="2"/>
  <c r="W17" i="2"/>
  <c r="V17" i="2"/>
  <c r="U17" i="2"/>
  <c r="T17" i="2"/>
  <c r="S17" i="2"/>
  <c r="R17" i="2"/>
  <c r="Q17" i="2"/>
  <c r="P17" i="2"/>
  <c r="AA16" i="2"/>
  <c r="Z16" i="2"/>
  <c r="Y16" i="2"/>
  <c r="X16" i="2"/>
  <c r="W16" i="2"/>
  <c r="V16" i="2"/>
  <c r="U16" i="2"/>
  <c r="T16" i="2"/>
  <c r="S16" i="2"/>
  <c r="R16" i="2"/>
  <c r="Q16" i="2"/>
  <c r="P16" i="2"/>
  <c r="AA15" i="2"/>
  <c r="Z15" i="2"/>
  <c r="Y15" i="2"/>
  <c r="X15" i="2"/>
  <c r="W15" i="2"/>
  <c r="V15" i="2"/>
  <c r="U15" i="2"/>
  <c r="T15" i="2"/>
  <c r="S15" i="2"/>
  <c r="R15" i="2"/>
  <c r="Q15" i="2"/>
  <c r="P15" i="2"/>
  <c r="AA14" i="2"/>
  <c r="Z14" i="2"/>
  <c r="Y14" i="2"/>
  <c r="X14" i="2"/>
  <c r="W14" i="2"/>
  <c r="V14" i="2"/>
  <c r="U14" i="2"/>
  <c r="T14" i="2"/>
  <c r="S14" i="2"/>
  <c r="R14" i="2"/>
  <c r="Q14" i="2"/>
  <c r="P14" i="2"/>
  <c r="AA13" i="2"/>
  <c r="Z13" i="2"/>
  <c r="Y13" i="2"/>
  <c r="X13" i="2"/>
  <c r="W13" i="2"/>
  <c r="V13" i="2"/>
  <c r="U13" i="2"/>
  <c r="T13" i="2"/>
  <c r="S13" i="2"/>
  <c r="R13" i="2"/>
  <c r="Q13" i="2"/>
  <c r="P13" i="2"/>
  <c r="AA12" i="2"/>
  <c r="Z12" i="2"/>
  <c r="Y12" i="2"/>
  <c r="X12" i="2"/>
  <c r="W12" i="2"/>
  <c r="V12" i="2"/>
  <c r="U12" i="2"/>
  <c r="T12" i="2"/>
  <c r="S12" i="2"/>
  <c r="R12" i="2"/>
  <c r="Q12" i="2"/>
  <c r="P12" i="2"/>
  <c r="AA11" i="2"/>
  <c r="Z11" i="2"/>
  <c r="Y11" i="2"/>
  <c r="X11" i="2"/>
  <c r="W11" i="2"/>
  <c r="V11" i="2"/>
  <c r="U11" i="2"/>
  <c r="T11" i="2"/>
  <c r="S11" i="2"/>
  <c r="R11" i="2"/>
  <c r="Q11" i="2"/>
  <c r="P11" i="2"/>
  <c r="AA10" i="2"/>
  <c r="Z10" i="2"/>
  <c r="Y10" i="2"/>
  <c r="X10" i="2"/>
  <c r="W10" i="2"/>
  <c r="V10" i="2"/>
  <c r="U10" i="2"/>
  <c r="T10" i="2"/>
  <c r="S10" i="2"/>
  <c r="R10" i="2"/>
  <c r="Q10" i="2"/>
  <c r="P10" i="2"/>
  <c r="AA9" i="2"/>
  <c r="Z9" i="2"/>
  <c r="Y9" i="2"/>
  <c r="X9" i="2"/>
  <c r="W9" i="2"/>
  <c r="V9" i="2"/>
  <c r="U9" i="2"/>
  <c r="T9" i="2"/>
  <c r="S9" i="2"/>
  <c r="R9" i="2"/>
  <c r="Q9" i="2"/>
  <c r="P9" i="2"/>
  <c r="AA8" i="2"/>
  <c r="Z8" i="2"/>
  <c r="Y8" i="2"/>
  <c r="X8" i="2"/>
  <c r="W8" i="2"/>
  <c r="V8" i="2"/>
  <c r="U8" i="2"/>
  <c r="T8" i="2"/>
  <c r="S8" i="2"/>
  <c r="R8" i="2"/>
  <c r="Q8" i="2"/>
  <c r="P8" i="2"/>
  <c r="AA7" i="2"/>
  <c r="Z7" i="2"/>
  <c r="Y7" i="2"/>
  <c r="X7" i="2"/>
  <c r="W7" i="2"/>
  <c r="V7" i="2"/>
  <c r="U7" i="2"/>
  <c r="T7" i="2"/>
  <c r="S7" i="2"/>
  <c r="R7" i="2"/>
  <c r="Q7" i="2"/>
  <c r="P7" i="2"/>
  <c r="AA6" i="2"/>
  <c r="Z6" i="2"/>
  <c r="Y6" i="2"/>
  <c r="X6" i="2"/>
  <c r="W6" i="2"/>
  <c r="V6" i="2"/>
  <c r="U6" i="2"/>
  <c r="T6" i="2"/>
  <c r="S6" i="2"/>
  <c r="R6" i="2"/>
  <c r="Q6" i="2"/>
  <c r="P6" i="2"/>
  <c r="AA5" i="2"/>
  <c r="Z5" i="2"/>
  <c r="Y5" i="2"/>
  <c r="X5" i="2"/>
  <c r="W5" i="2"/>
  <c r="V5" i="2"/>
  <c r="U5" i="2"/>
  <c r="T5" i="2"/>
  <c r="S5" i="2"/>
  <c r="R5" i="2"/>
  <c r="Q5" i="2"/>
  <c r="P5" i="2"/>
  <c r="AA4" i="2"/>
  <c r="Z4" i="2"/>
  <c r="Y4" i="2"/>
  <c r="X4" i="2"/>
  <c r="W4" i="2"/>
  <c r="V4" i="2"/>
  <c r="U4" i="2"/>
  <c r="T4" i="2"/>
  <c r="S4" i="2"/>
  <c r="R4" i="2"/>
  <c r="Q4" i="2"/>
  <c r="P4" i="2"/>
  <c r="AA3" i="2"/>
  <c r="Z3" i="2"/>
  <c r="Y3" i="2"/>
  <c r="X3" i="2"/>
  <c r="W3" i="2"/>
  <c r="V3" i="2"/>
  <c r="U3" i="2"/>
  <c r="T3" i="2"/>
  <c r="S3" i="2"/>
  <c r="R3" i="2"/>
  <c r="Q3" i="2"/>
  <c r="P3" i="2"/>
</calcChain>
</file>

<file path=xl/sharedStrings.xml><?xml version="1.0" encoding="utf-8"?>
<sst xmlns="http://schemas.openxmlformats.org/spreadsheetml/2006/main" count="703" uniqueCount="633">
  <si>
    <t>CÓMO SE CALCULA CADA RATIO — todas las fórmulas</t>
  </si>
  <si>
    <t>Flujos = TTM (últimos 4 trimestres). Balance = último período. BYMA des-acumula; EDGAR ya viene TTM.</t>
  </si>
  <si>
    <t>Ratio</t>
  </si>
  <si>
    <t>Fórmula(s)</t>
  </si>
  <si>
    <t>Tags / notas</t>
  </si>
  <si>
    <t>ROE</t>
  </si>
  <si>
    <t>NetIncome ÷ Equity</t>
  </si>
  <si>
    <t>Beneficio neto (TTM) sobre patrimonio. Si NI&lt;0 → ROE negativo (pérdida).</t>
  </si>
  <si>
    <t>ROA</t>
  </si>
  <si>
    <t>NetIncome ÷ Assets</t>
  </si>
  <si>
    <t>Retorno sobre activos totales.</t>
  </si>
  <si>
    <t>Margen Neto</t>
  </si>
  <si>
    <t>NetIncome ÷ Revenue</t>
  </si>
  <si>
    <t>Ganancia final por peso vendido.</t>
  </si>
  <si>
    <t>Margen Op.</t>
  </si>
  <si>
    <t>OperatingIncome ÷ Revenue</t>
  </si>
  <si>
    <t>Ganancia operativa por peso vendido (antes de intereses/RECPAM).</t>
  </si>
  <si>
    <t>Margen Bruto</t>
  </si>
  <si>
    <t>GrossProfit ÷ Revenue</t>
  </si>
  <si>
    <t>(Revenue − COGS) ÷ Revenue.</t>
  </si>
  <si>
    <t>Deuda/EBITDA</t>
  </si>
  <si>
    <t>(DebtCurrent + DebtNonCurrent) ÷ EBITDA</t>
  </si>
  <si>
    <t>Años de EBITDA para pagar la deuda. n/d si EBITDA≤0.</t>
  </si>
  <si>
    <t>EV/EBITDA</t>
  </si>
  <si>
    <t>(MarketCap + Deuda − Cash) ÷ EBITDA</t>
  </si>
  <si>
    <t>Enterprise Value sobre EBITDA. n/d si EBITDA≤0.</t>
  </si>
  <si>
    <t>FCF/CE</t>
  </si>
  <si>
    <t>(CF_Operativo + CF_Inversion) ÷ (Deuda + Equity)</t>
  </si>
  <si>
    <t>Free Cash Flow sobre capital empleado.</t>
  </si>
  <si>
    <t>Payout</t>
  </si>
  <si>
    <t>Dividendos(12m) ÷ NetIncome</t>
  </si>
  <si>
    <t>% de ganancias repartido. n/d si pérdida.</t>
  </si>
  <si>
    <t>EPS</t>
  </si>
  <si>
    <t>NetIncome ÷ shares    |    EPS_basico (directo)</t>
  </si>
  <si>
    <t>Ganancia por acción. Dos formas equivalentes.</t>
  </si>
  <si>
    <t>PER</t>
  </si>
  <si>
    <t>Precio ÷ EPS    |    MarketCap ÷ NetIncome</t>
  </si>
  <si>
    <t>Dos formas equivalentes. n/d si NI≤0 (pérdida).</t>
  </si>
  <si>
    <t>shares</t>
  </si>
  <si>
    <t>NetIncome ÷ EPS_basico    |    MarketCap ÷ Precio</t>
  </si>
  <si>
    <t>Cantidad de acciones, dos formas.</t>
  </si>
  <si>
    <t>TTM = suma de los últimos 4 trimestres standalone (des-acumulados).</t>
  </si>
  <si>
    <t>Des-acumular (BYMA): standalone(Q) = YTD(Q) − YTD(Q−1); el Q1 (inicio de ejercicio) ya es standalone.</t>
  </si>
  <si>
    <t>IMPORTANTE: para saber si es Q1 usar el fin de ejercicio (hoja no incluida acá) — NO el campo tipo A/P (no es confiable).</t>
  </si>
  <si>
    <t>En las solapas de datos: columnas B..O son los TAGS; P..AA son los RATIOS como fórmula viva (clic para ver el cálculo).</t>
  </si>
  <si>
    <t>TAGS (líneas contables — todos los necesarios)</t>
  </si>
  <si>
    <t>RATIOS (fórmula viva → referencia los tags)</t>
  </si>
  <si>
    <t>Ticker</t>
  </si>
  <si>
    <t>NetIncome TTM</t>
  </si>
  <si>
    <t>Revenue TTM</t>
  </si>
  <si>
    <t>GrossProfit TTM</t>
  </si>
  <si>
    <t>OperatingIncome TTM</t>
  </si>
  <si>
    <t>EBITDA TTM</t>
  </si>
  <si>
    <t>FCF TTM</t>
  </si>
  <si>
    <t>Equity</t>
  </si>
  <si>
    <t>Assets</t>
  </si>
  <si>
    <t>Deuda</t>
  </si>
  <si>
    <t>Cash</t>
  </si>
  <si>
    <t>MarketCap</t>
  </si>
  <si>
    <t>Dividendos 12m</t>
  </si>
  <si>
    <t>EPS (calc)</t>
  </si>
  <si>
    <t>shares (calc)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</si>
  <si>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</si>
  <si>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</si>
  <si>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</si>
  <si>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</si>
  <si>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</si>
  <si>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</si>
  <si>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</si>
  <si>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</si>
  <si>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</si>
  <si>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</si>
  <si>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</si>
  <si>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</si>
  <si>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</si>
  <si>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</si>
  <si>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</si>
  <si>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</si>
  <si>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</si>
  <si>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</si>
  <si>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</si>
  <si>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</si>
  <si>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</si>
  <si>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</si>
  <si>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</si>
  <si>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</si>
  <si>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</si>
  <si>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</si>
  <si>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</si>
  <si>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</si>
  <si>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</si>
  <si>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</si>
  <si>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</si>
  <si>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</si>
  <si>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</si>
  <si>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</si>
  <si>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</si>
  <si>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</si>
  <si>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</si>
  <si>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</si>
  <si>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</si>
  <si>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</si>
  <si>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</si>
  <si>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</si>
  <si>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ARES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</si>
  <si>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</si>
  <si>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</si>
  <si>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</si>
  <si>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</si>
  <si>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</si>
  <si>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</si>
  <si>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</si>
  <si>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</si>
  <si>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</si>
  <si>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</si>
  <si>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</si>
  <si>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</si>
  <si>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</si>
  <si>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</si>
  <si>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</si>
  <si>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BF-A</t>
  </si>
  <si>
    <t>BG</t>
  </si>
  <si>
    <t>BIIB</t>
  </si>
  <si>
    <t>BKNG</t>
  </si>
  <si>
    <t>BKR</t>
  </si>
  <si>
    <t>BLDR</t>
  </si>
  <si>
    <t>BLK</t>
  </si>
  <si>
    <t>BMY</t>
  </si>
  <si>
    <t>BNY</t>
  </si>
  <si>
    <t>BR</t>
  </si>
  <si>
    <t>BRK-B</t>
  </si>
  <si>
    <t>BRO</t>
  </si>
  <si>
    <t>BSX</t>
  </si>
  <si>
    <t>BX</t>
  </si>
  <si>
    <t>BXP</t>
  </si>
  <si>
    <t>C</t>
  </si>
  <si>
    <t>CAG</t>
  </si>
  <si>
    <t>CAH</t>
  </si>
  <si>
    <t>CARR</t>
  </si>
  <si>
    <t>CASY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</si>
  <si>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</si>
  <si>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</si>
  <si>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</si>
  <si>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</si>
  <si>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</si>
  <si>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</si>
  <si>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</si>
  <si>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</si>
  <si>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</si>
  <si>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</si>
  <si>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</si>
  <si>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</si>
  <si>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</si>
  <si>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</si>
  <si>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</si>
  <si>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CIEN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</si>
  <si>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</si>
  <si>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</si>
  <si>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</si>
  <si>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</si>
  <si>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</si>
  <si>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</si>
  <si>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</si>
  <si>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</si>
  <si>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</si>
  <si>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</si>
  <si>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</si>
  <si>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COHR</t>
  </si>
  <si>
    <t>COIN</t>
  </si>
  <si>
    <t>COO</t>
  </si>
  <si>
    <t>COP</t>
  </si>
  <si>
    <t>COR</t>
  </si>
  <si>
    <t>COST</t>
  </si>
  <si>
    <t>CPAY</t>
  </si>
  <si>
    <t>CPRT</t>
  </si>
  <si>
    <t>CPT</t>
  </si>
  <si>
    <t>CRH</t>
  </si>
  <si>
    <t>CRL</t>
  </si>
  <si>
    <t>CRM</t>
  </si>
  <si>
    <t>CRWD</t>
  </si>
  <si>
    <t>CSCO</t>
  </si>
  <si>
    <t>CSGP</t>
  </si>
  <si>
    <t>CSX</t>
  </si>
  <si>
    <t>CTAS</t>
  </si>
  <si>
    <t>CTSH</t>
  </si>
  <si>
    <t>CTVA</t>
  </si>
  <si>
    <t>CVNA</t>
  </si>
  <si>
    <t>CVS</t>
  </si>
  <si>
    <t>CVX</t>
  </si>
  <si>
    <t>D</t>
  </si>
  <si>
    <t>DAL</t>
  </si>
  <si>
    <t>DASH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</si>
  <si>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</si>
  <si>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</si>
  <si>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</si>
  <si>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</si>
  <si>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</si>
  <si>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</si>
  <si>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</si>
  <si>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</si>
  <si>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</si>
  <si>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</si>
  <si>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</si>
  <si>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</si>
  <si>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</si>
  <si>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</si>
  <si>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</si>
  <si>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</si>
  <si>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</si>
  <si>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</si>
  <si>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</si>
  <si>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</si>
  <si>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</si>
  <si>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</si>
  <si>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</si>
  <si>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</si>
  <si>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</si>
  <si>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</si>
  <si>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</si>
  <si>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</si>
  <si>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</si>
  <si>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</si>
  <si>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</si>
  <si>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</si>
  <si>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EMR</t>
  </si>
  <si>
    <t>EOG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</si>
  <si>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</si>
  <si>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</si>
  <si>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</si>
  <si>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</si>
  <si>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</si>
  <si>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</si>
  <si>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</si>
  <si>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</si>
  <si>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</si>
  <si>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</si>
  <si>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</si>
  <si>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</si>
  <si>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</si>
  <si>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</si>
  <si>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</si>
  <si>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</si>
  <si>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</si>
  <si>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</si>
  <si>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</si>
  <si>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</si>
  <si>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</si>
  <si>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</si>
  <si>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</si>
  <si>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</si>
  <si>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</si>
  <si>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FISV</t>
  </si>
  <si>
    <t>FITB</t>
  </si>
  <si>
    <t>FIX</t>
  </si>
  <si>
    <t>FLEX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</si>
  <si>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</si>
  <si>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</si>
  <si>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</si>
  <si>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</si>
  <si>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</si>
  <si>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</si>
  <si>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</si>
  <si>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</si>
  <si>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</si>
  <si>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</si>
  <si>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</si>
  <si>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</si>
  <si>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</si>
  <si>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</si>
  <si>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</si>
  <si>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</si>
  <si>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</si>
  <si>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</si>
  <si>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</si>
  <si>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</si>
  <si>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</si>
  <si>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</si>
  <si>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</si>
  <si>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</si>
  <si>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</si>
  <si>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</si>
  <si>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</si>
  <si>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</si>
  <si>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</si>
  <si>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</si>
  <si>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</si>
  <si>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</si>
  <si>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</si>
  <si>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</si>
  <si>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</si>
  <si>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</si>
  <si>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</si>
  <si>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</si>
  <si>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</si>
  <si>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</si>
  <si>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</si>
  <si>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</si>
  <si>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</si>
  <si>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</si>
  <si>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</si>
  <si>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</si>
  <si>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</si>
  <si>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</si>
  <si>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</si>
  <si>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</si>
  <si>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</si>
  <si>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</si>
  <si>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</si>
  <si>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</si>
  <si>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</si>
  <si>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</si>
  <si>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</si>
  <si>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</si>
  <si>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</si>
  <si>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</si>
  <si>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</si>
  <si>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</si>
  <si>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</si>
  <si>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</si>
  <si>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</si>
  <si>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</si>
  <si>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</si>
  <si>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</si>
  <si>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</si>
  <si>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</si>
  <si>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</si>
  <si>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</si>
  <si>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</si>
  <si>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</si>
  <si>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</si>
  <si>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</si>
  <si>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</si>
  <si>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</si>
  <si>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</si>
  <si>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</si>
  <si>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</si>
  <si>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</si>
  <si>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</si>
  <si>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</si>
  <si>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</si>
  <si>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</si>
  <si>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LITE</t>
  </si>
  <si>
    <t>LLY</t>
  </si>
  <si>
    <t>LMT</t>
  </si>
  <si>
    <t>LNT</t>
  </si>
  <si>
    <t>LOW</t>
  </si>
  <si>
    <t>LRCX</t>
  </si>
  <si>
    <t>LULU</t>
  </si>
  <si>
    <t>LUV</t>
  </si>
  <si>
    <t>LVS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</si>
  <si>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</si>
  <si>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</si>
  <si>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</si>
  <si>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</si>
  <si>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</si>
  <si>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</si>
  <si>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</si>
  <si>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</si>
  <si>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</si>
  <si>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</si>
  <si>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</si>
  <si>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</si>
  <si>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</si>
  <si>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</si>
  <si>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</si>
  <si>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MKC</t>
  </si>
  <si>
    <t>MLM</t>
  </si>
  <si>
    <t>MMM</t>
  </si>
  <si>
    <t>MNST</t>
  </si>
  <si>
    <t>MO</t>
  </si>
  <si>
    <t>MOS</t>
  </si>
  <si>
    <t>MPC</t>
  </si>
  <si>
    <t>MPWR</t>
  </si>
  <si>
    <t>MRK</t>
  </si>
  <si>
    <t>MRNA</t>
  </si>
  <si>
    <t>MRSH</t>
  </si>
  <si>
    <t>MRVL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</si>
  <si>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</si>
  <si>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</si>
  <si>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</si>
  <si>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</si>
  <si>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</si>
  <si>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</si>
  <si>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</si>
  <si>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</si>
  <si>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</si>
  <si>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</si>
  <si>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</si>
  <si>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</si>
  <si>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</si>
  <si>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</si>
  <si>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</si>
  <si>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</si>
  <si>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</si>
  <si>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</si>
  <si>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</si>
  <si>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</si>
  <si>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</si>
  <si>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</si>
  <si>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</si>
  <si>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</si>
  <si>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</si>
  <si>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</si>
  <si>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</si>
  <si>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</si>
  <si>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</si>
  <si>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</si>
  <si>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</si>
  <si>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</si>
  <si>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</si>
  <si>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</si>
  <si>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</si>
  <si>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</si>
  <si>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</si>
  <si>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</si>
  <si>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</si>
  <si>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</si>
  <si>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</si>
  <si>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</si>
  <si>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</si>
  <si>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</si>
  <si>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</si>
  <si>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</si>
  <si>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</si>
  <si>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</si>
  <si>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</si>
  <si>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</si>
  <si>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</si>
  <si>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</si>
  <si>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</si>
  <si>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</si>
  <si>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</si>
  <si>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</si>
  <si>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</si>
  <si>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</si>
  <si>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</si>
  <si>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</si>
  <si>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</si>
  <si>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</si>
  <si>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</si>
  <si>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</si>
  <si>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</si>
  <si>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</si>
  <si>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</si>
  <si>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</si>
  <si>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</si>
  <si>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</si>
  <si>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</si>
  <si>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</si>
  <si>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</si>
  <si>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</si>
  <si>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</si>
  <si>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</si>
  <si>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</si>
  <si>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</si>
  <si>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</si>
  <si>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</si>
  <si>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SATS</t>
  </si>
  <si>
    <t>SBAC</t>
  </si>
  <si>
    <t>SBUX</t>
  </si>
  <si>
    <t>SCHW</t>
  </si>
  <si>
    <t>SHW</t>
  </si>
  <si>
    <t>SJM</t>
  </si>
  <si>
    <t>SLB</t>
  </si>
  <si>
    <t>SMCI</t>
  </si>
  <si>
    <t>SNA</t>
  </si>
  <si>
    <t>SNDK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</si>
  <si>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</si>
  <si>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</si>
  <si>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</si>
  <si>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</si>
  <si>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</si>
  <si>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</si>
  <si>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</si>
  <si>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</si>
  <si>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</si>
  <si>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</si>
  <si>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</si>
  <si>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</si>
  <si>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</si>
  <si>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</si>
  <si>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</si>
  <si>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</si>
  <si>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</si>
  <si>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</si>
  <si>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</si>
  <si>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</si>
  <si>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</si>
  <si>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</si>
  <si>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</si>
  <si>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</si>
  <si>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</si>
  <si>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</si>
  <si>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</si>
  <si>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</si>
  <si>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</si>
  <si>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</si>
  <si>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</si>
  <si>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</si>
  <si>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</si>
  <si>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</si>
  <si>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</si>
  <si>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</si>
  <si>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</si>
  <si>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</si>
  <si>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</si>
  <si>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</si>
  <si>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</si>
  <si>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</si>
  <si>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</si>
  <si>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</si>
  <si>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</si>
  <si>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</si>
  <si>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</si>
  <si>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</si>
  <si>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</si>
  <si>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</si>
  <si>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</si>
  <si>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</si>
  <si>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</si>
  <si>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</si>
  <si>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</si>
  <si>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</si>
  <si>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VEEV</t>
  </si>
  <si>
    <t>VICI</t>
  </si>
  <si>
    <t>VLO</t>
  </si>
  <si>
    <t>VLTO</t>
  </si>
  <si>
    <t>VMC</t>
  </si>
  <si>
    <t>VRSK</t>
  </si>
  <si>
    <t>VRSN</t>
  </si>
  <si>
    <t>VRT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</si>
  <si>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</si>
  <si>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</si>
  <si>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</si>
  <si>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</si>
  <si>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</si>
  <si>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</si>
  <si>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</si>
  <si>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</si>
  <si>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</si>
  <si>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</si>
  <si>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</si>
  <si>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</si>
  <si>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</si>
  <si>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</si>
  <si>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</si>
  <si>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</si>
  <si>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</si>
  <si>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</si>
  <si>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</si>
  <si>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</si>
  <si>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</si>
  <si>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</si>
  <si>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</si>
  <si>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</si>
  <si>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</si>
  <si>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</si>
  <si>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</si>
  <si>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</si>
  <si>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</si>
  <si>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</si>
  <si>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A3</t>
  </si>
  <si>
    <t>AGRO</t>
  </si>
  <si>
    <t>ALUA</t>
  </si>
  <si>
    <t>AUSO</t>
  </si>
  <si>
    <t>BHIP</t>
  </si>
  <si>
    <t>BOLT</t>
  </si>
  <si>
    <t>BOLT_2</t>
  </si>
  <si>
    <t>BPAT</t>
  </si>
  <si>
    <t>BYMA</t>
  </si>
  <si>
    <t>CADO</t>
  </si>
  <si>
    <t>CAPX</t>
  </si>
  <si>
    <t>CARC</t>
  </si>
  <si>
    <t>CECO2</t>
  </si>
  <si>
    <t>CELU</t>
  </si>
  <si>
    <t>CGPA2</t>
  </si>
  <si>
    <t>COME</t>
  </si>
  <si>
    <t>COUR</t>
  </si>
  <si>
    <t>CTIO</t>
  </si>
  <si>
    <t>CVH</t>
  </si>
  <si>
    <t>DGCE</t>
  </si>
  <si>
    <t>DGCU2</t>
  </si>
  <si>
    <t>DOME</t>
  </si>
  <si>
    <t>ECOG</t>
  </si>
  <si>
    <t>EDSH</t>
  </si>
  <si>
    <t>FERR</t>
  </si>
  <si>
    <t>FIPL</t>
  </si>
  <si>
    <t>GARO</t>
  </si>
  <si>
    <t>GBAN</t>
  </si>
  <si>
    <t>GCDI</t>
  </si>
  <si>
    <t>GCLA</t>
  </si>
  <si>
    <t>GRIM</t>
  </si>
  <si>
    <t>HARG</t>
  </si>
  <si>
    <t>HAVA</t>
  </si>
  <si>
    <t>INTR</t>
  </si>
  <si>
    <t>INVJ</t>
  </si>
  <si>
    <t>LEDE</t>
  </si>
  <si>
    <t>LONG</t>
  </si>
  <si>
    <t>METR</t>
  </si>
  <si>
    <t>MIRG</t>
  </si>
  <si>
    <t>MOLA</t>
  </si>
  <si>
    <t>MOLI</t>
  </si>
  <si>
    <t>MORI</t>
  </si>
  <si>
    <t>OEST</t>
  </si>
  <si>
    <t>PATA_2</t>
  </si>
  <si>
    <t>POLL</t>
  </si>
  <si>
    <t>RAGH</t>
  </si>
  <si>
    <t>REGE</t>
  </si>
  <si>
    <t>RICH</t>
  </si>
  <si>
    <t>RIGO</t>
  </si>
  <si>
    <t>ROSE</t>
  </si>
  <si>
    <t>SAMI</t>
  </si>
  <si>
    <t>SEMI</t>
  </si>
  <si>
    <t>TGNO4</t>
  </si>
  <si>
    <t>TRAN</t>
  </si>
  <si>
    <t>TXAR</t>
  </si>
  <si>
    <t>VALO</t>
  </si>
  <si>
    <t>BBAR</t>
  </si>
  <si>
    <t>BIOX</t>
  </si>
  <si>
    <t>BMA</t>
  </si>
  <si>
    <t>CEPU</t>
  </si>
  <si>
    <t>CRESY</t>
  </si>
  <si>
    <t>EDN</t>
  </si>
  <si>
    <t>GGAL</t>
  </si>
  <si>
    <t>GLOB</t>
  </si>
  <si>
    <t>IRS</t>
  </si>
  <si>
    <t>LOMA</t>
  </si>
  <si>
    <t>MELI</t>
  </si>
  <si>
    <t>PAM</t>
  </si>
  <si>
    <t>SUPV</t>
  </si>
  <si>
    <t>TEO</t>
  </si>
  <si>
    <t>TGS</t>
  </si>
  <si>
    <t>YPF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</si>
</sst>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1A2744"/>
      <name val="Calibri"/>
      <family val="2"/>
    </font>
    <font>
      <sz val="9"/>
      <color rgb="FF6B7589"/>
      <name val="Calibri"/>
      <family val="2"/>
    </font>
    <font>
      <b/>
      <sz val="10"/>
      <color rgb="FFFFFFFF"/>
      <name val="Calibri"/>
      <family val="2"/>
    </font>
    <font>
      <b/>
      <sz val="10"/>
      <color rgb="FF1A2744"/>
      <name val="Calibri"/>
      <family val="2"/>
    </font>
    <font>
      <sz val="9.5"/>
      <color rgb="FF3A4458"/>
      <name val="Calibri"/>
      <family val="2"/>
    </font>
    <font>
      <b/>
      <sz val="9"/>
      <color rgb="FFFFFFFF"/>
      <name val="Calibri"/>
      <family val="2"/>
    </font>
    <font>
      <b/>
      <sz val="8.5"/>
      <color rgb="FFFFFFFF"/>
      <name val="Calibri"/>
      <family val="2"/>
    </font>
    <font>
      <b/>
      <sz val="9"/>
      <color rgb="FF1A2744"/>
      <name val="Calibri"/>
      <family val="2"/>
    </font>
    <font>
      <sz val="8.5"/>
      <color rgb="FF3A4458"/>
      <name val="Calibri"/>
      <family val="2"/>
    </font>
    <font>
      <b/>
      <sz val="9"/>
      <color rgb="FF1F6B3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2E3A56"/>
      </patternFill>
    </fill>
    <fill>
      <patternFill patternType="solid">
        <fgColor rgb="FF1F6B35"/>
      </patternFill>
    </fill>
    <fill>
      <patternFill patternType="solid">
        <fgColor rgb="FFF4F8FE"/>
      </patternFill>
    </fill>
  </fills>
  <borders count="3">
    <border>
      <left/>
      <right/>
      <top/>
      <bottom/>
      <diagonal/>
    </border>
    <border>
      <left style="thin">
        <color rgb="FFD6E2F2"/>
      </left>
      <right style="thin">
        <color rgb="FFD6E2F2"/>
      </right>
      <top style="thin">
        <color rgb="FFD6E2F2"/>
      </top>
      <bottom style="thin">
        <color rgb="FFD6E2F2"/>
      </bottom>
      <diagonal/>
    </border>
    <border>
      <left style="thin">
        <color rgb="FFD6E2F2"/>
      </left>
      <right style="thin">
        <color rgb="FFD6E2F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164" fontId="10" fillId="5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workbookViewId="0"/>
  </sheetViews>
  <sheetFormatPr defaultRowHeight="15" x14ac:dyDescent="0.25"/>
  <cols>
    <col min="1" max="1" width="18" customWidth="1"/>
    <col min="2" max="2" width="40" customWidth="1"/>
    <col min="3" max="3" width="52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ht="30" customHeight="1" x14ac:dyDescent="0.25">
      <c r="A5" s="4" t="s">
        <v>5</v>
      </c>
      <c r="B5" s="5" t="s">
        <v>6</v>
      </c>
      <c r="C5" s="6" t="s">
        <v>7</v>
      </c>
    </row>
    <row r="6" spans="1:3" ht="30" customHeight="1" x14ac:dyDescent="0.25">
      <c r="A6" s="4" t="s">
        <v>8</v>
      </c>
      <c r="B6" s="5" t="s">
        <v>9</v>
      </c>
      <c r="C6" s="6" t="s">
        <v>10</v>
      </c>
    </row>
    <row r="7" spans="1:3" ht="30" customHeight="1" x14ac:dyDescent="0.25">
      <c r="A7" s="4" t="s">
        <v>11</v>
      </c>
      <c r="B7" s="5" t="s">
        <v>12</v>
      </c>
      <c r="C7" s="6" t="s">
        <v>13</v>
      </c>
    </row>
    <row r="8" spans="1:3" ht="30" customHeight="1" x14ac:dyDescent="0.25">
      <c r="A8" s="4" t="s">
        <v>14</v>
      </c>
      <c r="B8" s="5" t="s">
        <v>15</v>
      </c>
      <c r="C8" s="6" t="s">
        <v>16</v>
      </c>
    </row>
    <row r="9" spans="1:3" ht="30" customHeight="1" x14ac:dyDescent="0.25">
      <c r="A9" s="4" t="s">
        <v>17</v>
      </c>
      <c r="B9" s="5" t="s">
        <v>18</v>
      </c>
      <c r="C9" s="6" t="s">
        <v>19</v>
      </c>
    </row>
    <row r="10" spans="1:3" ht="30" customHeight="1" x14ac:dyDescent="0.25">
      <c r="A10" s="4" t="s">
        <v>20</v>
      </c>
      <c r="B10" s="5" t="s">
        <v>21</v>
      </c>
      <c r="C10" s="6" t="s">
        <v>22</v>
      </c>
    </row>
    <row r="11" spans="1:3" ht="30" customHeight="1" x14ac:dyDescent="0.25">
      <c r="A11" s="4" t="s">
        <v>23</v>
      </c>
      <c r="B11" s="5" t="s">
        <v>24</v>
      </c>
      <c r="C11" s="6" t="s">
        <v>25</v>
      </c>
    </row>
    <row r="12" spans="1:3" ht="30" customHeight="1" x14ac:dyDescent="0.25">
      <c r="A12" s="4" t="s">
        <v>26</v>
      </c>
      <c r="B12" s="5" t="s">
        <v>27</v>
      </c>
      <c r="C12" s="6" t="s">
        <v>28</v>
      </c>
    </row>
    <row r="13" spans="1:3" ht="30" customHeight="1" x14ac:dyDescent="0.25">
      <c r="A13" s="4" t="s">
        <v>29</v>
      </c>
      <c r="B13" s="5" t="s">
        <v>30</v>
      </c>
      <c r="C13" s="6" t="s">
        <v>31</v>
      </c>
    </row>
    <row r="14" spans="1:3" ht="30" customHeight="1" x14ac:dyDescent="0.25">
      <c r="A14" s="4" t="s">
        <v>32</v>
      </c>
      <c r="B14" s="5" t="s">
        <v>33</v>
      </c>
      <c r="C14" s="6" t="s">
        <v>34</v>
      </c>
    </row>
    <row r="15" spans="1:3" ht="30" customHeight="1" x14ac:dyDescent="0.25">
      <c r="A15" s="4" t="s">
        <v>35</v>
      </c>
      <c r="B15" s="5" t="s">
        <v>36</v>
      </c>
      <c r="C15" s="6" t="s">
        <v>37</v>
      </c>
    </row>
    <row r="16" spans="1:3" ht="30" customHeight="1" x14ac:dyDescent="0.25">
      <c r="A16" s="4" t="s">
        <v>38</v>
      </c>
      <c r="B16" s="5" t="s">
        <v>39</v>
      </c>
      <c r="C16" s="6" t="s">
        <v>40</v>
      </c>
    </row>
    <row r="18" spans="1:1" x14ac:dyDescent="0.25">
      <c r="A18" s="2" t="s">
        <v>41</v>
      </c>
    </row>
    <row r="19" spans="1:1" x14ac:dyDescent="0.25">
      <c r="A19" s="2" t="s">
        <v>42</v>
      </c>
    </row>
    <row r="20" spans="1:1" x14ac:dyDescent="0.25">
      <c r="A20" s="2" t="s">
        <v>43</v>
      </c>
    </row>
    <row r="21" spans="1:1" x14ac:dyDescent="0.25">
      <c r="A21" s="2" t="s">
        <v>44</v>
      </c>
    </row>
  </sheetData>
  <pageMargins left="0.75" right="0.75" top="1" bottom="1" header="0.5" footer="0.5"/>
  <pageSetup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2"/>
  <sheetViews>
    <sheetView workbookViewId="0">
      <pane xSplit="1" ySplit="2" topLeftCell="I481" activePane="bottomRight" state="frozen"/>
      <selection pane="topRight"/>
      <selection pane="bottomLeft"/>
      <selection pane="bottomRight" activeCell="W505" sqref="W505"/>
    </sheetView>
  </sheetViews>
  <sheetFormatPr defaultRowHeight="15" x14ac:dyDescent="0.25"/>
  <cols>
    <col min="1" max="1" width="10" customWidth="1"/>
    <col min="2" max="15" width="15" customWidth="1"/>
    <col min="16" max="27" width="12" customWidth="1"/>
  </cols>
  <sheetData>
    <row r="1" spans="1:27" x14ac:dyDescent="0.25">
      <c r="B1" s="16" t="s">
        <v>45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4" t="s">
        <v>46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7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32</v>
      </c>
      <c r="O2" s="8" t="s">
        <v>38</v>
      </c>
      <c r="P2" s="9" t="s">
        <v>5</v>
      </c>
      <c r="Q2" s="9" t="s">
        <v>8</v>
      </c>
      <c r="R2" s="9" t="s">
        <v>11</v>
      </c>
      <c r="S2" s="9" t="s">
        <v>14</v>
      </c>
      <c r="T2" s="9" t="s">
        <v>17</v>
      </c>
      <c r="U2" s="9" t="s">
        <v>20</v>
      </c>
      <c r="V2" s="9" t="s">
        <v>23</v>
      </c>
      <c r="W2" s="9" t="s">
        <v>26</v>
      </c>
      <c r="X2" s="9" t="s">
        <v>29</v>
      </c>
      <c r="Y2" s="9" t="s">
        <v>60</v>
      </c>
      <c r="Z2" s="9" t="s">
        <v>35</v>
      </c>
      <c r="AA2" s="9" t="s">
        <v>61</v>
      </c>
    </row>
    <row r="3" spans="1:27" x14ac:dyDescent="0.25">
      <c r="A3" s="10" t="s">
        <v>62</v>
      </c>
      <c r="B3" s="11">
        <v>1414000000</v>
      </c>
      <c r="C3" s="11">
        <v>7232000000</v>
      </c>
      <c r="D3" s="11"/>
      <c r="E3" s="11">
        <v>1555000000</v>
      </c>
      <c r="F3" s="11">
        <v>1832000000</v>
      </c>
      <c r="G3" s="11">
        <v>1087000000</v>
      </c>
      <c r="H3" s="11">
        <v>6629000000</v>
      </c>
      <c r="I3" s="11">
        <v>13065000000</v>
      </c>
      <c r="J3" s="11">
        <v>3051000000</v>
      </c>
      <c r="K3" s="11"/>
      <c r="L3" s="11">
        <v>37730082364.660004</v>
      </c>
      <c r="M3" s="11">
        <v>285000000</v>
      </c>
      <c r="N3" s="11">
        <v>4.9800000000000004</v>
      </c>
      <c r="O3" s="11">
        <v>284000000</v>
      </c>
      <c r="P3" s="12">
        <f t="shared" ref="P3:P66" si="0">IFERROR(B3/H3,"")</f>
        <v>0.21330517423442449</v>
      </c>
      <c r="Q3" s="12">
        <f t="shared" ref="Q3:Q66" si="1">IFERROR(B3/I3,"")</f>
        <v>0.10822809031764255</v>
      </c>
      <c r="R3" s="12">
        <f t="shared" ref="R3:R66" si="2">IFERROR(B3/C3,"")</f>
        <v>0.19551991150442477</v>
      </c>
      <c r="S3" s="12">
        <f t="shared" ref="S3:S66" si="3">IFERROR(E3/C3,"")</f>
        <v>0.21501659292035399</v>
      </c>
      <c r="T3" s="12">
        <f t="shared" ref="T3:T66" si="4">IFERROR(D3/C3,"")</f>
        <v>0</v>
      </c>
      <c r="U3" s="13">
        <f t="shared" ref="U3:U66" si="5">IFERROR(J3/F3,"")</f>
        <v>1.6653930131004366</v>
      </c>
      <c r="V3" s="13">
        <f t="shared" ref="V3:V66" si="6">IFERROR((L3+J3-K3)/F3,"")</f>
        <v>22.260416137914849</v>
      </c>
      <c r="W3" s="12">
        <f t="shared" ref="W3:W66" si="7">IFERROR(G3/(J3+H3),"")</f>
        <v>0.11229338842975206</v>
      </c>
      <c r="X3" s="12">
        <f t="shared" ref="X3:X66" si="8">IFERROR(M3/B3,"")</f>
        <v>0.20155586987270155</v>
      </c>
      <c r="Y3" s="13">
        <f t="shared" ref="Y3:Y66" si="9">IFERROR(B3/O3,"")</f>
        <v>4.97887323943662</v>
      </c>
      <c r="Z3" s="13">
        <f t="shared" ref="Z3:Z66" si="10">IFERROR(L3/B3,"")</f>
        <v>26.683226566237625</v>
      </c>
      <c r="AA3" s="13">
        <f t="shared" ref="AA3:AA66" si="11">IFERROR(B3/N3,"")</f>
        <v>283935742.97188753</v>
      </c>
    </row>
    <row r="4" spans="1:27" x14ac:dyDescent="0.25">
      <c r="A4" s="10" t="s">
        <v>63</v>
      </c>
      <c r="B4" s="11">
        <v>122575000000</v>
      </c>
      <c r="C4" s="11">
        <v>451442000000</v>
      </c>
      <c r="D4" s="11">
        <v>216071000000</v>
      </c>
      <c r="E4" s="11">
        <v>147366000000</v>
      </c>
      <c r="F4" s="11">
        <v>159976000000</v>
      </c>
      <c r="G4" s="11">
        <v>129174000000</v>
      </c>
      <c r="H4" s="11">
        <v>86643500000</v>
      </c>
      <c r="I4" s="11">
        <v>371082000000</v>
      </c>
      <c r="J4" s="11">
        <v>82700000000</v>
      </c>
      <c r="K4" s="11"/>
      <c r="L4" s="11">
        <v>4644435732248.9004</v>
      </c>
      <c r="M4" s="11">
        <v>15550000000</v>
      </c>
      <c r="N4" s="11">
        <v>8.3000000000000007</v>
      </c>
      <c r="O4" s="11">
        <v>14768115000</v>
      </c>
      <c r="P4" s="12">
        <f t="shared" si="0"/>
        <v>1.4147050846283911</v>
      </c>
      <c r="Q4" s="12">
        <f t="shared" si="1"/>
        <v>0.33031782732657472</v>
      </c>
      <c r="R4" s="12">
        <f t="shared" si="2"/>
        <v>0.27151882190846222</v>
      </c>
      <c r="S4" s="12">
        <f t="shared" si="3"/>
        <v>0.32643396050876966</v>
      </c>
      <c r="T4" s="12">
        <f t="shared" si="4"/>
        <v>0.47862405358827936</v>
      </c>
      <c r="U4" s="13">
        <f t="shared" si="5"/>
        <v>0.51695254288143222</v>
      </c>
      <c r="V4" s="13">
        <f t="shared" si="6"/>
        <v>29.549030681157802</v>
      </c>
      <c r="W4" s="12">
        <f t="shared" si="7"/>
        <v>0.76279278507884862</v>
      </c>
      <c r="X4" s="12">
        <f t="shared" si="8"/>
        <v>0.12686110544564552</v>
      </c>
      <c r="Y4" s="13">
        <f t="shared" si="9"/>
        <v>8.2999759955823738</v>
      </c>
      <c r="Z4" s="13">
        <f t="shared" si="10"/>
        <v>37.890562775842547</v>
      </c>
      <c r="AA4" s="13">
        <f t="shared" si="11"/>
        <v>14768072289.156626</v>
      </c>
    </row>
    <row r="5" spans="1:27" x14ac:dyDescent="0.25">
      <c r="A5" s="10" t="s">
        <v>64</v>
      </c>
      <c r="B5" s="11">
        <v>3635000000</v>
      </c>
      <c r="C5" s="11">
        <v>62819000000</v>
      </c>
      <c r="D5" s="11"/>
      <c r="E5" s="11">
        <v>15332000000</v>
      </c>
      <c r="F5" s="11">
        <v>16101000000</v>
      </c>
      <c r="G5" s="11">
        <v>19980000000</v>
      </c>
      <c r="H5" s="11">
        <v>-2618000000</v>
      </c>
      <c r="I5" s="11">
        <v>136463000000</v>
      </c>
      <c r="J5" s="11">
        <v>64503000000</v>
      </c>
      <c r="K5" s="11"/>
      <c r="L5" s="11">
        <v>441539200366.29999</v>
      </c>
      <c r="M5" s="11">
        <v>11818000000</v>
      </c>
      <c r="N5" s="11">
        <v>2.0499999999999998</v>
      </c>
      <c r="O5" s="11">
        <v>1774000000</v>
      </c>
      <c r="P5" s="12">
        <f t="shared" si="0"/>
        <v>-1.3884644766997709</v>
      </c>
      <c r="Q5" s="12">
        <f t="shared" si="1"/>
        <v>2.6637256985409963E-2</v>
      </c>
      <c r="R5" s="12">
        <f t="shared" si="2"/>
        <v>5.7864658781578822E-2</v>
      </c>
      <c r="S5" s="12">
        <f t="shared" si="3"/>
        <v>0.24406628567790001</v>
      </c>
      <c r="T5" s="12">
        <f t="shared" si="4"/>
        <v>0</v>
      </c>
      <c r="U5" s="13">
        <f t="shared" si="5"/>
        <v>4.0061486864169931</v>
      </c>
      <c r="V5" s="13">
        <f t="shared" si="6"/>
        <v>31.429240442599838</v>
      </c>
      <c r="W5" s="12">
        <f t="shared" si="7"/>
        <v>0.3228569120142199</v>
      </c>
      <c r="X5" s="12">
        <f t="shared" si="8"/>
        <v>3.251169188445667</v>
      </c>
      <c r="Y5" s="13">
        <f t="shared" si="9"/>
        <v>2.049041713641488</v>
      </c>
      <c r="Z5" s="13">
        <f t="shared" si="10"/>
        <v>121.46883091232462</v>
      </c>
      <c r="AA5" s="13">
        <f t="shared" si="11"/>
        <v>1773170731.7073171</v>
      </c>
    </row>
    <row r="6" spans="1:27" x14ac:dyDescent="0.25">
      <c r="A6" s="10" t="s">
        <v>65</v>
      </c>
      <c r="B6" s="11">
        <v>2517000000</v>
      </c>
      <c r="C6" s="11">
        <v>12647000000</v>
      </c>
      <c r="D6" s="11"/>
      <c r="E6" s="11">
        <v>2592000000</v>
      </c>
      <c r="F6" s="11">
        <v>2634600000</v>
      </c>
      <c r="G6" s="11">
        <v>4526606000</v>
      </c>
      <c r="H6" s="11">
        <v>7786500000</v>
      </c>
      <c r="I6" s="11">
        <v>26828000000</v>
      </c>
      <c r="J6" s="11">
        <v>2475000000</v>
      </c>
      <c r="K6" s="11"/>
      <c r="L6" s="11">
        <v>87179937777.220001</v>
      </c>
      <c r="M6" s="11"/>
      <c r="N6" s="11">
        <v>4.1399999999999997</v>
      </c>
      <c r="O6" s="11">
        <v>608000000</v>
      </c>
      <c r="P6" s="12">
        <f t="shared" si="0"/>
        <v>0.32325178193026394</v>
      </c>
      <c r="Q6" s="12">
        <f t="shared" si="1"/>
        <v>9.381988966751155E-2</v>
      </c>
      <c r="R6" s="12">
        <f t="shared" si="2"/>
        <v>0.19901953032339686</v>
      </c>
      <c r="S6" s="12">
        <f t="shared" si="3"/>
        <v>0.20494979046414169</v>
      </c>
      <c r="T6" s="12">
        <f t="shared" si="4"/>
        <v>0</v>
      </c>
      <c r="U6" s="13">
        <f t="shared" si="5"/>
        <v>0.93942154406741063</v>
      </c>
      <c r="V6" s="13">
        <f t="shared" si="6"/>
        <v>34.029810133310562</v>
      </c>
      <c r="W6" s="12">
        <f t="shared" si="7"/>
        <v>0.44112517663109679</v>
      </c>
      <c r="X6" s="12">
        <f t="shared" si="8"/>
        <v>0</v>
      </c>
      <c r="Y6" s="13">
        <f t="shared" si="9"/>
        <v>4.1398026315789478</v>
      </c>
      <c r="Z6" s="13">
        <f t="shared" si="10"/>
        <v>34.636447269455701</v>
      </c>
      <c r="AA6" s="13">
        <f t="shared" si="11"/>
        <v>607971014.49275362</v>
      </c>
    </row>
    <row r="7" spans="1:27" x14ac:dyDescent="0.25">
      <c r="A7" s="10" t="s">
        <v>66</v>
      </c>
      <c r="B7" s="11">
        <v>6276000000</v>
      </c>
      <c r="C7" s="11">
        <v>45134000000</v>
      </c>
      <c r="D7" s="11"/>
      <c r="E7" s="11">
        <v>7705000000</v>
      </c>
      <c r="F7" s="11">
        <v>9184000000</v>
      </c>
      <c r="G7" s="11">
        <v>7378000000</v>
      </c>
      <c r="H7" s="11">
        <v>50436000000</v>
      </c>
      <c r="I7" s="11">
        <v>110429000000</v>
      </c>
      <c r="J7" s="11">
        <v>12929000000</v>
      </c>
      <c r="K7" s="11"/>
      <c r="L7" s="11">
        <v>164427164395.39999</v>
      </c>
      <c r="M7" s="11">
        <v>4188000000</v>
      </c>
      <c r="N7" s="11">
        <v>3.59</v>
      </c>
      <c r="O7" s="11">
        <v>1747073000</v>
      </c>
      <c r="P7" s="12">
        <f t="shared" si="0"/>
        <v>0.1244349274327861</v>
      </c>
      <c r="Q7" s="12">
        <f t="shared" si="1"/>
        <v>5.6832897155638468E-2</v>
      </c>
      <c r="R7" s="12">
        <f t="shared" si="2"/>
        <v>0.13905259892763769</v>
      </c>
      <c r="S7" s="12">
        <f t="shared" si="3"/>
        <v>0.17071387424114859</v>
      </c>
      <c r="T7" s="12">
        <f t="shared" si="4"/>
        <v>0</v>
      </c>
      <c r="U7" s="13">
        <f t="shared" si="5"/>
        <v>1.4077743902439024</v>
      </c>
      <c r="V7" s="13">
        <f t="shared" si="6"/>
        <v>19.311429050021776</v>
      </c>
      <c r="W7" s="12">
        <f t="shared" si="7"/>
        <v>0.11643651858281386</v>
      </c>
      <c r="X7" s="12">
        <f t="shared" si="8"/>
        <v>0.66730401529636707</v>
      </c>
      <c r="Y7" s="13">
        <f t="shared" si="9"/>
        <v>3.5922940827315171</v>
      </c>
      <c r="Z7" s="13">
        <f t="shared" si="10"/>
        <v>26.199356978234544</v>
      </c>
      <c r="AA7" s="13">
        <f t="shared" si="11"/>
        <v>1748189415.0417829</v>
      </c>
    </row>
    <row r="8" spans="1:27" x14ac:dyDescent="0.25">
      <c r="A8" s="10" t="s">
        <v>67</v>
      </c>
      <c r="B8" s="11">
        <v>4872000000</v>
      </c>
      <c r="C8" s="11">
        <v>19777000000</v>
      </c>
      <c r="D8" s="11"/>
      <c r="E8" s="11"/>
      <c r="F8" s="11"/>
      <c r="G8" s="11">
        <v>5859000000</v>
      </c>
      <c r="H8" s="11">
        <v>22866500000</v>
      </c>
      <c r="I8" s="11">
        <v>81446000000</v>
      </c>
      <c r="J8" s="11"/>
      <c r="K8" s="11"/>
      <c r="L8" s="11">
        <v>35532920033.349998</v>
      </c>
      <c r="M8" s="11"/>
      <c r="N8" s="11">
        <v>13.54</v>
      </c>
      <c r="O8" s="11">
        <v>359700000</v>
      </c>
      <c r="P8" s="12">
        <f t="shared" si="0"/>
        <v>0.21306277742549143</v>
      </c>
      <c r="Q8" s="12">
        <f t="shared" si="1"/>
        <v>5.981877563047909E-2</v>
      </c>
      <c r="R8" s="12">
        <f t="shared" si="2"/>
        <v>0.24634676644587147</v>
      </c>
      <c r="S8" s="12">
        <f t="shared" si="3"/>
        <v>0</v>
      </c>
      <c r="T8" s="12">
        <f t="shared" si="4"/>
        <v>0</v>
      </c>
      <c r="U8" s="13" t="str">
        <f t="shared" si="5"/>
        <v/>
      </c>
      <c r="V8" s="13" t="str">
        <f t="shared" si="6"/>
        <v/>
      </c>
      <c r="W8" s="12">
        <f t="shared" si="7"/>
        <v>0.25622635733496602</v>
      </c>
      <c r="X8" s="12">
        <f t="shared" si="8"/>
        <v>0</v>
      </c>
      <c r="Y8" s="13">
        <f t="shared" si="9"/>
        <v>13.544620517097581</v>
      </c>
      <c r="Z8" s="13">
        <f t="shared" si="10"/>
        <v>7.2932922892754508</v>
      </c>
      <c r="AA8" s="13">
        <f t="shared" si="11"/>
        <v>359822747.41506648</v>
      </c>
    </row>
    <row r="9" spans="1:27" x14ac:dyDescent="0.25">
      <c r="A9" s="10" t="s">
        <v>68</v>
      </c>
      <c r="B9" s="11">
        <v>7789752000</v>
      </c>
      <c r="C9" s="11">
        <v>73100595000</v>
      </c>
      <c r="D9" s="11"/>
      <c r="E9" s="11">
        <v>10592234000</v>
      </c>
      <c r="F9" s="11">
        <v>12035459000</v>
      </c>
      <c r="G9" s="11">
        <v>12581688000</v>
      </c>
      <c r="H9" s="11">
        <v>31222645500</v>
      </c>
      <c r="I9" s="11">
        <v>68806561000</v>
      </c>
      <c r="J9" s="11"/>
      <c r="K9" s="11"/>
      <c r="L9" s="11">
        <v>85096668183.539993</v>
      </c>
      <c r="M9" s="11">
        <v>2735061000</v>
      </c>
      <c r="N9" s="11">
        <v>12.54</v>
      </c>
      <c r="O9" s="11">
        <v>621337104</v>
      </c>
      <c r="P9" s="12">
        <f t="shared" si="0"/>
        <v>0.24949045397194161</v>
      </c>
      <c r="Q9" s="12">
        <f t="shared" si="1"/>
        <v>0.11321234322407132</v>
      </c>
      <c r="R9" s="12">
        <f t="shared" si="2"/>
        <v>0.10656208749053274</v>
      </c>
      <c r="S9" s="12">
        <f t="shared" si="3"/>
        <v>0.1448994225012806</v>
      </c>
      <c r="T9" s="12">
        <f t="shared" si="4"/>
        <v>0</v>
      </c>
      <c r="U9" s="13">
        <f t="shared" si="5"/>
        <v>0</v>
      </c>
      <c r="V9" s="13">
        <f t="shared" si="6"/>
        <v>7.0704962879720661</v>
      </c>
      <c r="W9" s="12">
        <f t="shared" si="7"/>
        <v>0.40296675052727354</v>
      </c>
      <c r="X9" s="12">
        <f t="shared" si="8"/>
        <v>0.3511101508751498</v>
      </c>
      <c r="Y9" s="13">
        <f t="shared" si="9"/>
        <v>12.537078423051973</v>
      </c>
      <c r="Z9" s="13">
        <f t="shared" si="10"/>
        <v>10.924181948737264</v>
      </c>
      <c r="AA9" s="13">
        <f t="shared" si="11"/>
        <v>621192344.49760771</v>
      </c>
    </row>
    <row r="10" spans="1:27" x14ac:dyDescent="0.25">
      <c r="A10" s="10" t="s">
        <v>69</v>
      </c>
      <c r="B10" s="11">
        <v>7229000000</v>
      </c>
      <c r="C10" s="11">
        <v>25198000000</v>
      </c>
      <c r="D10" s="11">
        <v>22528000000</v>
      </c>
      <c r="E10" s="11">
        <v>9090000000</v>
      </c>
      <c r="F10" s="11">
        <v>9849000000</v>
      </c>
      <c r="G10" s="11">
        <v>10280000000</v>
      </c>
      <c r="H10" s="11">
        <v>11483000000</v>
      </c>
      <c r="I10" s="11">
        <v>29933000000</v>
      </c>
      <c r="J10" s="11">
        <v>4802000000</v>
      </c>
      <c r="K10" s="11"/>
      <c r="L10" s="11">
        <v>88503372573.850006</v>
      </c>
      <c r="M10" s="11"/>
      <c r="N10" s="11">
        <v>17.78</v>
      </c>
      <c r="O10" s="11">
        <v>406600000</v>
      </c>
      <c r="P10" s="12">
        <f t="shared" si="0"/>
        <v>0.62953931899329441</v>
      </c>
      <c r="Q10" s="12">
        <f t="shared" si="1"/>
        <v>0.24150603013396585</v>
      </c>
      <c r="R10" s="12">
        <f t="shared" si="2"/>
        <v>0.28688784824192398</v>
      </c>
      <c r="S10" s="12">
        <f t="shared" si="3"/>
        <v>0.36074291610445275</v>
      </c>
      <c r="T10" s="12">
        <f t="shared" si="4"/>
        <v>0.8940392094610683</v>
      </c>
      <c r="U10" s="13">
        <f t="shared" si="5"/>
        <v>0.48756218905472637</v>
      </c>
      <c r="V10" s="13">
        <f t="shared" si="6"/>
        <v>9.4735884428723729</v>
      </c>
      <c r="W10" s="12">
        <f t="shared" si="7"/>
        <v>0.63125575683143997</v>
      </c>
      <c r="X10" s="12">
        <f t="shared" si="8"/>
        <v>0</v>
      </c>
      <c r="Y10" s="13">
        <f t="shared" si="9"/>
        <v>17.779144121987212</v>
      </c>
      <c r="Z10" s="13">
        <f t="shared" si="10"/>
        <v>12.242823706439342</v>
      </c>
      <c r="AA10" s="13">
        <f t="shared" si="11"/>
        <v>406580427.44656914</v>
      </c>
    </row>
    <row r="11" spans="1:27" x14ac:dyDescent="0.25">
      <c r="A11" s="10" t="s">
        <v>70</v>
      </c>
      <c r="B11" s="11">
        <v>3313432000</v>
      </c>
      <c r="C11" s="11">
        <v>12740193000</v>
      </c>
      <c r="D11" s="11">
        <v>8216338000</v>
      </c>
      <c r="E11" s="11">
        <v>4139944000</v>
      </c>
      <c r="F11" s="11">
        <v>4558807000</v>
      </c>
      <c r="G11" s="11">
        <v>4565150000</v>
      </c>
      <c r="H11" s="11">
        <v>34376326500</v>
      </c>
      <c r="I11" s="11">
        <v>47949095000</v>
      </c>
      <c r="J11" s="11">
        <v>6517077000</v>
      </c>
      <c r="K11" s="11"/>
      <c r="L11" s="11">
        <v>191736949560.66</v>
      </c>
      <c r="M11" s="11">
        <v>1997772000</v>
      </c>
      <c r="N11" s="11">
        <v>6.75</v>
      </c>
      <c r="O11" s="11">
        <v>491057000</v>
      </c>
      <c r="P11" s="12">
        <f t="shared" si="0"/>
        <v>9.6387029603061281E-2</v>
      </c>
      <c r="Q11" s="12">
        <f t="shared" si="1"/>
        <v>6.9103118630289062E-2</v>
      </c>
      <c r="R11" s="12">
        <f t="shared" si="2"/>
        <v>0.26007706476660125</v>
      </c>
      <c r="S11" s="12">
        <f t="shared" si="3"/>
        <v>0.32495143519411362</v>
      </c>
      <c r="T11" s="12">
        <f t="shared" si="4"/>
        <v>0.64491471989474569</v>
      </c>
      <c r="U11" s="13">
        <f t="shared" si="5"/>
        <v>1.4295575574925632</v>
      </c>
      <c r="V11" s="13">
        <f t="shared" si="6"/>
        <v>43.488137699327915</v>
      </c>
      <c r="W11" s="12">
        <f t="shared" si="7"/>
        <v>0.11163536436873003</v>
      </c>
      <c r="X11" s="12">
        <f t="shared" si="8"/>
        <v>0.60293134127997794</v>
      </c>
      <c r="Y11" s="13">
        <f t="shared" si="9"/>
        <v>6.7475506916712318</v>
      </c>
      <c r="Z11" s="13">
        <f t="shared" si="10"/>
        <v>57.866571446361355</v>
      </c>
      <c r="AA11" s="13">
        <f t="shared" si="11"/>
        <v>490878814.81481481</v>
      </c>
    </row>
    <row r="12" spans="1:27" x14ac:dyDescent="0.25">
      <c r="A12" s="10" t="s">
        <v>71</v>
      </c>
      <c r="B12" s="11">
        <v>1081000000</v>
      </c>
      <c r="C12" s="11">
        <v>80584000000</v>
      </c>
      <c r="D12" s="11">
        <v>5075000000</v>
      </c>
      <c r="E12" s="11"/>
      <c r="F12" s="11"/>
      <c r="G12" s="11">
        <v>4793000000</v>
      </c>
      <c r="H12" s="11"/>
      <c r="I12" s="11">
        <v>55598000000</v>
      </c>
      <c r="J12" s="11">
        <v>7612000000</v>
      </c>
      <c r="K12" s="11"/>
      <c r="L12" s="11">
        <v>38064928120.360001</v>
      </c>
      <c r="M12" s="11">
        <v>994000000</v>
      </c>
      <c r="N12" s="11">
        <v>2.23</v>
      </c>
      <c r="O12" s="11">
        <v>484000000</v>
      </c>
      <c r="P12" s="12" t="str">
        <f t="shared" si="0"/>
        <v/>
      </c>
      <c r="Q12" s="12">
        <f t="shared" si="1"/>
        <v>1.944314543688622E-2</v>
      </c>
      <c r="R12" s="12">
        <f t="shared" si="2"/>
        <v>1.3414573612627817E-2</v>
      </c>
      <c r="S12" s="12">
        <f t="shared" si="3"/>
        <v>0</v>
      </c>
      <c r="T12" s="12">
        <f t="shared" si="4"/>
        <v>6.2977762334954834E-2</v>
      </c>
      <c r="U12" s="13" t="str">
        <f t="shared" si="5"/>
        <v/>
      </c>
      <c r="V12" s="13" t="str">
        <f t="shared" si="6"/>
        <v/>
      </c>
      <c r="W12" s="12">
        <f t="shared" si="7"/>
        <v>0.62966368891224378</v>
      </c>
      <c r="X12" s="12">
        <f t="shared" si="8"/>
        <v>0.91951896392229415</v>
      </c>
      <c r="Y12" s="13">
        <f t="shared" si="9"/>
        <v>2.2334710743801653</v>
      </c>
      <c r="Z12" s="13">
        <f t="shared" si="10"/>
        <v>35.212699463792788</v>
      </c>
      <c r="AA12" s="13">
        <f t="shared" si="11"/>
        <v>484753363.22869956</v>
      </c>
    </row>
    <row r="13" spans="1:27" x14ac:dyDescent="0.25">
      <c r="A13" s="10" t="s">
        <v>72</v>
      </c>
      <c r="B13" s="11">
        <v>4345600000</v>
      </c>
      <c r="C13" s="11">
        <v>20560900000</v>
      </c>
      <c r="D13" s="11"/>
      <c r="E13" s="11"/>
      <c r="F13" s="11"/>
      <c r="G13" s="11"/>
      <c r="H13" s="11">
        <v>6102700000</v>
      </c>
      <c r="I13" s="11">
        <v>64484200000</v>
      </c>
      <c r="J13" s="11">
        <v>3977300000</v>
      </c>
      <c r="K13" s="11"/>
      <c r="L13" s="11">
        <v>96447887073</v>
      </c>
      <c r="M13" s="11">
        <v>2568900000</v>
      </c>
      <c r="N13" s="11">
        <v>10.74</v>
      </c>
      <c r="O13" s="11">
        <v>404500000</v>
      </c>
      <c r="P13" s="12">
        <f t="shared" si="0"/>
        <v>0.71207826044209943</v>
      </c>
      <c r="Q13" s="12">
        <f t="shared" si="1"/>
        <v>6.7390151385920888E-2</v>
      </c>
      <c r="R13" s="12">
        <f t="shared" si="2"/>
        <v>0.21135261588743684</v>
      </c>
      <c r="S13" s="12">
        <f t="shared" si="3"/>
        <v>0</v>
      </c>
      <c r="T13" s="12">
        <f t="shared" si="4"/>
        <v>0</v>
      </c>
      <c r="U13" s="13" t="str">
        <f t="shared" si="5"/>
        <v/>
      </c>
      <c r="V13" s="13" t="str">
        <f t="shared" si="6"/>
        <v/>
      </c>
      <c r="W13" s="12">
        <f t="shared" si="7"/>
        <v>0</v>
      </c>
      <c r="X13" s="12">
        <f t="shared" si="8"/>
        <v>0.59114966863033869</v>
      </c>
      <c r="Y13" s="13">
        <f t="shared" si="9"/>
        <v>10.743139678615576</v>
      </c>
      <c r="Z13" s="13">
        <f t="shared" si="10"/>
        <v>22.194377548094625</v>
      </c>
      <c r="AA13" s="13">
        <f t="shared" si="11"/>
        <v>404618249.53445065</v>
      </c>
    </row>
    <row r="14" spans="1:27" x14ac:dyDescent="0.25">
      <c r="A14" s="10" t="s">
        <v>73</v>
      </c>
      <c r="B14" s="11">
        <v>1463000000</v>
      </c>
      <c r="C14" s="11">
        <v>7507000000</v>
      </c>
      <c r="D14" s="11">
        <v>6842000000</v>
      </c>
      <c r="E14" s="11">
        <v>1886000000</v>
      </c>
      <c r="F14" s="11">
        <v>2084000000</v>
      </c>
      <c r="G14" s="11">
        <v>2729000000</v>
      </c>
      <c r="H14" s="11">
        <v>2903000000</v>
      </c>
      <c r="I14" s="11">
        <v>11932000000</v>
      </c>
      <c r="J14" s="11">
        <v>2500000000</v>
      </c>
      <c r="K14" s="11"/>
      <c r="L14" s="11">
        <v>44040676840.199997</v>
      </c>
      <c r="M14" s="11">
        <v>0</v>
      </c>
      <c r="N14" s="11">
        <v>6.9</v>
      </c>
      <c r="O14" s="11">
        <v>212000000</v>
      </c>
      <c r="P14" s="12">
        <f t="shared" si="0"/>
        <v>0.50396141922149496</v>
      </c>
      <c r="Q14" s="12">
        <f t="shared" si="1"/>
        <v>0.12261146496815287</v>
      </c>
      <c r="R14" s="12">
        <f t="shared" si="2"/>
        <v>0.19488477421073663</v>
      </c>
      <c r="S14" s="12">
        <f t="shared" si="3"/>
        <v>0.25123218329559077</v>
      </c>
      <c r="T14" s="12">
        <f t="shared" si="4"/>
        <v>0.91141601172239239</v>
      </c>
      <c r="U14" s="13">
        <f t="shared" si="5"/>
        <v>1.199616122840691</v>
      </c>
      <c r="V14" s="13">
        <f t="shared" si="6"/>
        <v>22.332378522168906</v>
      </c>
      <c r="W14" s="12">
        <f t="shared" si="7"/>
        <v>0.5050897649454007</v>
      </c>
      <c r="X14" s="12">
        <f t="shared" si="8"/>
        <v>0</v>
      </c>
      <c r="Y14" s="13">
        <f t="shared" si="9"/>
        <v>6.9009433962264151</v>
      </c>
      <c r="Z14" s="13">
        <f t="shared" si="10"/>
        <v>30.102991688448391</v>
      </c>
      <c r="AA14" s="13">
        <f t="shared" si="11"/>
        <v>212028985.50724638</v>
      </c>
    </row>
    <row r="15" spans="1:27" x14ac:dyDescent="0.25">
      <c r="A15" s="10" t="s">
        <v>74</v>
      </c>
      <c r="B15" s="11">
        <v>1529000000</v>
      </c>
      <c r="C15" s="11">
        <v>8878000000</v>
      </c>
      <c r="D15" s="11"/>
      <c r="E15" s="11">
        <v>2128000000</v>
      </c>
      <c r="F15" s="11"/>
      <c r="G15" s="11">
        <v>-1295000000</v>
      </c>
      <c r="H15" s="11">
        <v>12887500000</v>
      </c>
      <c r="I15" s="11">
        <v>49846000000</v>
      </c>
      <c r="J15" s="11">
        <v>19431000000</v>
      </c>
      <c r="K15" s="11"/>
      <c r="L15" s="11">
        <v>30932527191.279999</v>
      </c>
      <c r="M15" s="11">
        <v>785000000</v>
      </c>
      <c r="N15" s="11">
        <v>5.49</v>
      </c>
      <c r="O15" s="11">
        <v>278400000</v>
      </c>
      <c r="P15" s="12">
        <f t="shared" si="0"/>
        <v>0.11864209505334626</v>
      </c>
      <c r="Q15" s="12">
        <f t="shared" si="1"/>
        <v>3.0674477390362317E-2</v>
      </c>
      <c r="R15" s="12">
        <f t="shared" si="2"/>
        <v>0.1722234737553503</v>
      </c>
      <c r="S15" s="12">
        <f t="shared" si="3"/>
        <v>0.23969362469024555</v>
      </c>
      <c r="T15" s="12">
        <f t="shared" si="4"/>
        <v>0</v>
      </c>
      <c r="U15" s="13" t="str">
        <f t="shared" si="5"/>
        <v/>
      </c>
      <c r="V15" s="13" t="str">
        <f t="shared" si="6"/>
        <v/>
      </c>
      <c r="W15" s="12">
        <f t="shared" si="7"/>
        <v>-4.0069928988040904E-2</v>
      </c>
      <c r="X15" s="12">
        <f t="shared" si="8"/>
        <v>0.51340745585349901</v>
      </c>
      <c r="Y15" s="13">
        <f t="shared" si="9"/>
        <v>5.492097701149425</v>
      </c>
      <c r="Z15" s="13">
        <f t="shared" si="10"/>
        <v>20.230560622158272</v>
      </c>
      <c r="AA15" s="13">
        <f t="shared" si="11"/>
        <v>278506375.2276867</v>
      </c>
    </row>
    <row r="16" spans="1:27" x14ac:dyDescent="0.25">
      <c r="A16" s="10" t="s">
        <v>75</v>
      </c>
      <c r="B16" s="11"/>
      <c r="C16" s="11">
        <v>22432600000</v>
      </c>
      <c r="D16" s="11"/>
      <c r="E16" s="11">
        <v>5394800000</v>
      </c>
      <c r="F16" s="11">
        <v>8719800000</v>
      </c>
      <c r="G16" s="11">
        <v>7013000000</v>
      </c>
      <c r="H16" s="11">
        <v>29564350000</v>
      </c>
      <c r="I16" s="11">
        <v>117776000000</v>
      </c>
      <c r="J16" s="11">
        <v>49554000000</v>
      </c>
      <c r="K16" s="11"/>
      <c r="L16" s="11">
        <v>72828461854.149994</v>
      </c>
      <c r="M16" s="11"/>
      <c r="N16" s="11"/>
      <c r="O16" s="11"/>
      <c r="P16" s="12">
        <f t="shared" si="0"/>
        <v>0</v>
      </c>
      <c r="Q16" s="12">
        <f t="shared" si="1"/>
        <v>0</v>
      </c>
      <c r="R16" s="12">
        <f t="shared" si="2"/>
        <v>0</v>
      </c>
      <c r="S16" s="12">
        <f t="shared" si="3"/>
        <v>0.2404892879113433</v>
      </c>
      <c r="T16" s="12">
        <f t="shared" si="4"/>
        <v>0</v>
      </c>
      <c r="U16" s="13">
        <f t="shared" si="5"/>
        <v>5.6829285075345766</v>
      </c>
      <c r="V16" s="13">
        <f t="shared" si="6"/>
        <v>14.035007896299227</v>
      </c>
      <c r="W16" s="12">
        <f t="shared" si="7"/>
        <v>8.8639361159579294E-2</v>
      </c>
      <c r="X16" s="12" t="str">
        <f t="shared" si="8"/>
        <v/>
      </c>
      <c r="Y16" s="13" t="str">
        <f t="shared" si="9"/>
        <v/>
      </c>
      <c r="Z16" s="13" t="str">
        <f t="shared" si="10"/>
        <v/>
      </c>
      <c r="AA16" s="13" t="str">
        <f t="shared" si="11"/>
        <v/>
      </c>
    </row>
    <row r="17" spans="1:27" x14ac:dyDescent="0.25">
      <c r="A17" s="10" t="s">
        <v>76</v>
      </c>
      <c r="B17" s="11">
        <v>1351000000</v>
      </c>
      <c r="C17" s="11">
        <v>12487000000</v>
      </c>
      <c r="D17" s="11">
        <v>2410000000</v>
      </c>
      <c r="E17" s="11"/>
      <c r="F17" s="11"/>
      <c r="G17" s="11">
        <v>-1479000000</v>
      </c>
      <c r="H17" s="11">
        <v>3944000000</v>
      </c>
      <c r="I17" s="11">
        <v>52819000000</v>
      </c>
      <c r="J17" s="11"/>
      <c r="K17" s="11"/>
      <c r="L17" s="11">
        <v>10504812786.030001</v>
      </c>
      <c r="M17" s="11">
        <v>501000000</v>
      </c>
      <c r="N17" s="11">
        <v>1.89</v>
      </c>
      <c r="O17" s="11">
        <v>715000000</v>
      </c>
      <c r="P17" s="12">
        <f t="shared" si="0"/>
        <v>0.34254563894523327</v>
      </c>
      <c r="Q17" s="12">
        <f t="shared" si="1"/>
        <v>2.5577917037429714E-2</v>
      </c>
      <c r="R17" s="12">
        <f t="shared" si="2"/>
        <v>0.10819252022102988</v>
      </c>
      <c r="S17" s="12">
        <f t="shared" si="3"/>
        <v>0</v>
      </c>
      <c r="T17" s="12">
        <f t="shared" si="4"/>
        <v>0.19300072074957955</v>
      </c>
      <c r="U17" s="13" t="str">
        <f t="shared" si="5"/>
        <v/>
      </c>
      <c r="V17" s="13" t="str">
        <f t="shared" si="6"/>
        <v/>
      </c>
      <c r="W17" s="12">
        <f t="shared" si="7"/>
        <v>-0.375</v>
      </c>
      <c r="X17" s="12">
        <f t="shared" si="8"/>
        <v>0.37083641746854185</v>
      </c>
      <c r="Y17" s="13">
        <f t="shared" si="9"/>
        <v>1.8895104895104895</v>
      </c>
      <c r="Z17" s="13">
        <f t="shared" si="10"/>
        <v>7.7755831132716509</v>
      </c>
      <c r="AA17" s="13">
        <f t="shared" si="11"/>
        <v>714814814.81481481</v>
      </c>
    </row>
    <row r="18" spans="1:27" x14ac:dyDescent="0.25">
      <c r="A18" s="10" t="s">
        <v>77</v>
      </c>
      <c r="B18" s="11">
        <v>4636000000</v>
      </c>
      <c r="C18" s="11">
        <v>18112000000</v>
      </c>
      <c r="D18" s="11"/>
      <c r="E18" s="11">
        <v>4572000000</v>
      </c>
      <c r="F18" s="11">
        <v>4608000000</v>
      </c>
      <c r="G18" s="11"/>
      <c r="H18" s="11">
        <v>28149500000</v>
      </c>
      <c r="I18" s="11">
        <v>116280000000</v>
      </c>
      <c r="J18" s="11"/>
      <c r="K18" s="11"/>
      <c r="L18" s="11">
        <v>62091067351.650002</v>
      </c>
      <c r="M18" s="11">
        <v>1196000000</v>
      </c>
      <c r="N18" s="11">
        <v>9.01</v>
      </c>
      <c r="O18" s="11">
        <v>514785000</v>
      </c>
      <c r="P18" s="12">
        <f t="shared" si="0"/>
        <v>0.16469209044565622</v>
      </c>
      <c r="Q18" s="12">
        <f t="shared" si="1"/>
        <v>3.9869281045751631E-2</v>
      </c>
      <c r="R18" s="12">
        <f t="shared" si="2"/>
        <v>0.25596289752650175</v>
      </c>
      <c r="S18" s="12">
        <f t="shared" si="3"/>
        <v>0.25242932862190814</v>
      </c>
      <c r="T18" s="12">
        <f t="shared" si="4"/>
        <v>0</v>
      </c>
      <c r="U18" s="13">
        <f t="shared" si="5"/>
        <v>0</v>
      </c>
      <c r="V18" s="13">
        <f t="shared" si="6"/>
        <v>13.47462399124349</v>
      </c>
      <c r="W18" s="12">
        <f t="shared" si="7"/>
        <v>0</v>
      </c>
      <c r="X18" s="12">
        <f t="shared" si="8"/>
        <v>0.25798101811906815</v>
      </c>
      <c r="Y18" s="13">
        <f t="shared" si="9"/>
        <v>9.0057014093262229</v>
      </c>
      <c r="Z18" s="13">
        <f t="shared" si="10"/>
        <v>13.393241447724332</v>
      </c>
      <c r="AA18" s="13">
        <f t="shared" si="11"/>
        <v>514539400.66592675</v>
      </c>
    </row>
    <row r="19" spans="1:27" x14ac:dyDescent="0.25">
      <c r="A19" s="10" t="s">
        <v>78</v>
      </c>
      <c r="B19" s="11">
        <v>3259000000</v>
      </c>
      <c r="C19" s="11">
        <v>26642000000</v>
      </c>
      <c r="D19" s="11"/>
      <c r="E19" s="11"/>
      <c r="F19" s="11"/>
      <c r="G19" s="11">
        <v>3285000000</v>
      </c>
      <c r="H19" s="11">
        <v>40918000000</v>
      </c>
      <c r="I19" s="11">
        <v>161543000000</v>
      </c>
      <c r="J19" s="11">
        <v>9191000000</v>
      </c>
      <c r="K19" s="11"/>
      <c r="L19" s="11">
        <v>41944614466.919998</v>
      </c>
      <c r="M19" s="11">
        <v>983000000</v>
      </c>
      <c r="N19" s="11">
        <v>6.01</v>
      </c>
      <c r="O19" s="11">
        <v>542160956</v>
      </c>
      <c r="P19" s="12">
        <f t="shared" si="0"/>
        <v>7.9647099076201183E-2</v>
      </c>
      <c r="Q19" s="12">
        <f t="shared" si="1"/>
        <v>2.0174195105947024E-2</v>
      </c>
      <c r="R19" s="12">
        <f t="shared" si="2"/>
        <v>0.12232565122738533</v>
      </c>
      <c r="S19" s="12">
        <f t="shared" si="3"/>
        <v>0</v>
      </c>
      <c r="T19" s="12">
        <f t="shared" si="4"/>
        <v>0</v>
      </c>
      <c r="U19" s="13" t="str">
        <f t="shared" si="5"/>
        <v/>
      </c>
      <c r="V19" s="13" t="str">
        <f t="shared" si="6"/>
        <v/>
      </c>
      <c r="W19" s="12">
        <f t="shared" si="7"/>
        <v>6.5557085553493391E-2</v>
      </c>
      <c r="X19" s="12">
        <f t="shared" si="8"/>
        <v>0.30162626572568274</v>
      </c>
      <c r="Y19" s="13">
        <f t="shared" si="9"/>
        <v>6.0111300231660358</v>
      </c>
      <c r="Z19" s="13">
        <f t="shared" si="10"/>
        <v>12.870394129156182</v>
      </c>
      <c r="AA19" s="13">
        <f t="shared" si="11"/>
        <v>542262895.17470884</v>
      </c>
    </row>
    <row r="20" spans="1:27" x14ac:dyDescent="0.25">
      <c r="A20" s="10" t="s">
        <v>79</v>
      </c>
      <c r="B20" s="11">
        <v>1000200000</v>
      </c>
      <c r="C20" s="11">
        <v>13160400000</v>
      </c>
      <c r="D20" s="11"/>
      <c r="E20" s="11"/>
      <c r="F20" s="11"/>
      <c r="G20" s="11">
        <v>1452000000</v>
      </c>
      <c r="H20" s="11">
        <v>5551800000</v>
      </c>
      <c r="I20" s="11">
        <v>35768500000</v>
      </c>
      <c r="J20" s="11"/>
      <c r="K20" s="11"/>
      <c r="L20" s="11">
        <v>13833700855.23</v>
      </c>
      <c r="M20" s="11">
        <v>171500000</v>
      </c>
      <c r="N20" s="11">
        <v>19.93</v>
      </c>
      <c r="O20" s="11">
        <v>50197547</v>
      </c>
      <c r="P20" s="12">
        <f t="shared" si="0"/>
        <v>0.18015778666378471</v>
      </c>
      <c r="Q20" s="12">
        <f t="shared" si="1"/>
        <v>2.796315193536212E-2</v>
      </c>
      <c r="R20" s="12">
        <f t="shared" si="2"/>
        <v>7.6000729461110611E-2</v>
      </c>
      <c r="S20" s="12">
        <f t="shared" si="3"/>
        <v>0</v>
      </c>
      <c r="T20" s="12">
        <f t="shared" si="4"/>
        <v>0</v>
      </c>
      <c r="U20" s="13" t="str">
        <f t="shared" si="5"/>
        <v/>
      </c>
      <c r="V20" s="13" t="str">
        <f t="shared" si="6"/>
        <v/>
      </c>
      <c r="W20" s="12">
        <f t="shared" si="7"/>
        <v>0.2615367988760402</v>
      </c>
      <c r="X20" s="12">
        <f t="shared" si="8"/>
        <v>0.17146570685862828</v>
      </c>
      <c r="Y20" s="13">
        <f t="shared" si="9"/>
        <v>19.925276428348184</v>
      </c>
      <c r="Z20" s="13">
        <f t="shared" si="10"/>
        <v>13.83093466829634</v>
      </c>
      <c r="AA20" s="13">
        <f t="shared" si="11"/>
        <v>50185649.774209738</v>
      </c>
    </row>
    <row r="21" spans="1:27" x14ac:dyDescent="0.25">
      <c r="A21" s="10" t="s">
        <v>80</v>
      </c>
      <c r="B21" s="11">
        <v>1611600000</v>
      </c>
      <c r="C21" s="11">
        <v>14972600000</v>
      </c>
      <c r="D21" s="11"/>
      <c r="E21" s="11"/>
      <c r="F21" s="11"/>
      <c r="G21" s="11"/>
      <c r="H21" s="11">
        <v>23047550000</v>
      </c>
      <c r="I21" s="11">
        <v>78301000000</v>
      </c>
      <c r="J21" s="11">
        <v>12873000000</v>
      </c>
      <c r="K21" s="11"/>
      <c r="L21" s="11">
        <v>65201600508.580002</v>
      </c>
      <c r="M21" s="11">
        <v>681000000</v>
      </c>
      <c r="N21" s="11"/>
      <c r="O21" s="11"/>
      <c r="P21" s="12">
        <f t="shared" si="0"/>
        <v>6.9925002874492076E-2</v>
      </c>
      <c r="Q21" s="12">
        <f t="shared" si="1"/>
        <v>2.0582112616697106E-2</v>
      </c>
      <c r="R21" s="12">
        <f t="shared" si="2"/>
        <v>0.10763661621895997</v>
      </c>
      <c r="S21" s="12">
        <f t="shared" si="3"/>
        <v>0</v>
      </c>
      <c r="T21" s="12">
        <f t="shared" si="4"/>
        <v>0</v>
      </c>
      <c r="U21" s="13" t="str">
        <f t="shared" si="5"/>
        <v/>
      </c>
      <c r="V21" s="13" t="str">
        <f t="shared" si="6"/>
        <v/>
      </c>
      <c r="W21" s="12">
        <f t="shared" si="7"/>
        <v>0</v>
      </c>
      <c r="X21" s="12">
        <f t="shared" si="8"/>
        <v>0.4225614296351452</v>
      </c>
      <c r="Y21" s="13" t="str">
        <f t="shared" si="9"/>
        <v/>
      </c>
      <c r="Z21" s="13">
        <f t="shared" si="10"/>
        <v>40.457682122474559</v>
      </c>
      <c r="AA21" s="13" t="str">
        <f t="shared" si="11"/>
        <v/>
      </c>
    </row>
    <row r="22" spans="1:27" x14ac:dyDescent="0.25">
      <c r="A22" s="10" t="s">
        <v>81</v>
      </c>
      <c r="B22" s="11">
        <v>435179000</v>
      </c>
      <c r="C22" s="11"/>
      <c r="D22" s="11"/>
      <c r="E22" s="11"/>
      <c r="F22" s="11">
        <v>1245195000</v>
      </c>
      <c r="G22" s="11">
        <v>1088377000</v>
      </c>
      <c r="H22" s="11">
        <v>4746693000</v>
      </c>
      <c r="I22" s="11">
        <v>11645752000</v>
      </c>
      <c r="J22" s="11"/>
      <c r="K22" s="11"/>
      <c r="L22" s="11">
        <v>18830324234.669998</v>
      </c>
      <c r="M22" s="11"/>
      <c r="N22" s="11">
        <v>2.9</v>
      </c>
      <c r="O22" s="11">
        <v>150022000</v>
      </c>
      <c r="P22" s="12">
        <f t="shared" si="0"/>
        <v>9.1680460480591433E-2</v>
      </c>
      <c r="Q22" s="12">
        <f t="shared" si="1"/>
        <v>3.7368046305640029E-2</v>
      </c>
      <c r="R22" s="12" t="str">
        <f t="shared" si="2"/>
        <v/>
      </c>
      <c r="S22" s="12" t="str">
        <f t="shared" si="3"/>
        <v/>
      </c>
      <c r="T22" s="12" t="str">
        <f t="shared" si="4"/>
        <v/>
      </c>
      <c r="U22" s="13">
        <f t="shared" si="5"/>
        <v>0</v>
      </c>
      <c r="V22" s="13">
        <f t="shared" si="6"/>
        <v>15.122389854336067</v>
      </c>
      <c r="W22" s="12">
        <f t="shared" si="7"/>
        <v>0.22929163525005725</v>
      </c>
      <c r="X22" s="12">
        <f t="shared" si="8"/>
        <v>0</v>
      </c>
      <c r="Y22" s="13">
        <f t="shared" si="9"/>
        <v>2.9007678873765181</v>
      </c>
      <c r="Z22" s="13">
        <f t="shared" si="10"/>
        <v>43.270296210685714</v>
      </c>
      <c r="AA22" s="13">
        <f t="shared" si="11"/>
        <v>150061724.13793105</v>
      </c>
    </row>
    <row r="23" spans="1:27" x14ac:dyDescent="0.25">
      <c r="A23" s="10" t="s">
        <v>82</v>
      </c>
      <c r="B23" s="11">
        <v>-232885000</v>
      </c>
      <c r="C23" s="11">
        <v>5494583000</v>
      </c>
      <c r="D23" s="11">
        <v>1013386000</v>
      </c>
      <c r="E23" s="11">
        <v>-153339000</v>
      </c>
      <c r="F23" s="11">
        <v>501390000</v>
      </c>
      <c r="G23" s="11">
        <v>577275000</v>
      </c>
      <c r="H23" s="11">
        <v>9939206500</v>
      </c>
      <c r="I23" s="11">
        <v>15139578000</v>
      </c>
      <c r="J23" s="11">
        <v>1881831000</v>
      </c>
      <c r="K23" s="11"/>
      <c r="L23" s="11">
        <v>15145167665.48</v>
      </c>
      <c r="M23" s="11"/>
      <c r="N23" s="11">
        <v>-1.96</v>
      </c>
      <c r="O23" s="11">
        <v>118607000</v>
      </c>
      <c r="P23" s="12">
        <f t="shared" si="0"/>
        <v>-2.3430944914968815E-2</v>
      </c>
      <c r="Q23" s="12">
        <f t="shared" si="1"/>
        <v>-1.5382529156360897E-2</v>
      </c>
      <c r="R23" s="12">
        <f t="shared" si="2"/>
        <v>-4.238447212463621E-2</v>
      </c>
      <c r="S23" s="12">
        <f t="shared" si="3"/>
        <v>-2.7907304339564985E-2</v>
      </c>
      <c r="T23" s="12">
        <f t="shared" si="4"/>
        <v>0.18443365037892775</v>
      </c>
      <c r="U23" s="13">
        <f t="shared" si="5"/>
        <v>3.7532280260874766</v>
      </c>
      <c r="V23" s="13">
        <f t="shared" si="6"/>
        <v>33.959589671672752</v>
      </c>
      <c r="W23" s="12">
        <f t="shared" si="7"/>
        <v>4.8834546037096999E-2</v>
      </c>
      <c r="X23" s="12">
        <f t="shared" si="8"/>
        <v>0</v>
      </c>
      <c r="Y23" s="13">
        <f t="shared" si="9"/>
        <v>-1.9635013110524675</v>
      </c>
      <c r="Z23" s="13">
        <f t="shared" si="10"/>
        <v>-65.032817336797123</v>
      </c>
      <c r="AA23" s="13">
        <f t="shared" si="11"/>
        <v>118818877.55102041</v>
      </c>
    </row>
    <row r="24" spans="1:27" x14ac:dyDescent="0.25">
      <c r="A24" s="10" t="s">
        <v>83</v>
      </c>
      <c r="B24" s="11">
        <v>429892000</v>
      </c>
      <c r="C24" s="11">
        <v>4095789000</v>
      </c>
      <c r="D24" s="11">
        <v>2767492000</v>
      </c>
      <c r="E24" s="11">
        <v>556610000</v>
      </c>
      <c r="F24" s="11">
        <v>811446000</v>
      </c>
      <c r="G24" s="11">
        <v>583648000</v>
      </c>
      <c r="H24" s="11">
        <v>3971831000</v>
      </c>
      <c r="I24" s="11">
        <v>6314173000</v>
      </c>
      <c r="J24" s="11"/>
      <c r="K24" s="11"/>
      <c r="L24" s="11">
        <v>12760201556.450001</v>
      </c>
      <c r="M24" s="11"/>
      <c r="N24" s="11">
        <v>6</v>
      </c>
      <c r="O24" s="11">
        <v>71614000</v>
      </c>
      <c r="P24" s="12">
        <f t="shared" si="0"/>
        <v>0.1082352194743432</v>
      </c>
      <c r="Q24" s="12">
        <f t="shared" si="1"/>
        <v>6.808365877843385E-2</v>
      </c>
      <c r="R24" s="12">
        <f t="shared" si="2"/>
        <v>0.10495950841217651</v>
      </c>
      <c r="S24" s="12">
        <f t="shared" si="3"/>
        <v>0.13589811389209747</v>
      </c>
      <c r="T24" s="12">
        <f t="shared" si="4"/>
        <v>0.67569203394022492</v>
      </c>
      <c r="U24" s="13">
        <f t="shared" si="5"/>
        <v>0</v>
      </c>
      <c r="V24" s="13">
        <f t="shared" si="6"/>
        <v>15.725262748784271</v>
      </c>
      <c r="W24" s="12">
        <f t="shared" si="7"/>
        <v>0.14694683635834455</v>
      </c>
      <c r="X24" s="12">
        <f t="shared" si="8"/>
        <v>0</v>
      </c>
      <c r="Y24" s="13">
        <f t="shared" si="9"/>
        <v>6.0029044600217834</v>
      </c>
      <c r="Z24" s="13">
        <f t="shared" si="10"/>
        <v>29.682342440543209</v>
      </c>
      <c r="AA24" s="13">
        <f t="shared" si="11"/>
        <v>71648666.666666672</v>
      </c>
    </row>
    <row r="25" spans="1:27" x14ac:dyDescent="0.25">
      <c r="A25" s="10" t="s">
        <v>84</v>
      </c>
      <c r="B25" s="11">
        <v>12144000000</v>
      </c>
      <c r="C25" s="11">
        <v>68174000000</v>
      </c>
      <c r="D25" s="11"/>
      <c r="E25" s="11"/>
      <c r="F25" s="11"/>
      <c r="G25" s="11">
        <v>11532000000</v>
      </c>
      <c r="H25" s="11">
        <v>26831000000</v>
      </c>
      <c r="I25" s="11">
        <v>123972000000</v>
      </c>
      <c r="J25" s="11">
        <v>7491000000</v>
      </c>
      <c r="K25" s="11"/>
      <c r="L25" s="11">
        <v>64005139878.080002</v>
      </c>
      <c r="M25" s="11">
        <v>1053000000</v>
      </c>
      <c r="N25" s="11">
        <v>46.25</v>
      </c>
      <c r="O25" s="11">
        <v>262600000</v>
      </c>
      <c r="P25" s="12">
        <f t="shared" si="0"/>
        <v>0.45261078603108346</v>
      </c>
      <c r="Q25" s="12">
        <f t="shared" si="1"/>
        <v>9.7957603329784149E-2</v>
      </c>
      <c r="R25" s="12">
        <f t="shared" si="2"/>
        <v>0.17813242585149763</v>
      </c>
      <c r="S25" s="12">
        <f t="shared" si="3"/>
        <v>0</v>
      </c>
      <c r="T25" s="12">
        <f t="shared" si="4"/>
        <v>0</v>
      </c>
      <c r="U25" s="13" t="str">
        <f t="shared" si="5"/>
        <v/>
      </c>
      <c r="V25" s="13" t="str">
        <f t="shared" si="6"/>
        <v/>
      </c>
      <c r="W25" s="12">
        <f t="shared" si="7"/>
        <v>0.33599440592040092</v>
      </c>
      <c r="X25" s="12">
        <f t="shared" si="8"/>
        <v>8.6709486166007904E-2</v>
      </c>
      <c r="Y25" s="13">
        <f t="shared" si="9"/>
        <v>46.245239908606244</v>
      </c>
      <c r="Z25" s="13">
        <f t="shared" si="10"/>
        <v>5.2705154708563899</v>
      </c>
      <c r="AA25" s="13">
        <f t="shared" si="11"/>
        <v>262572972.97297296</v>
      </c>
    </row>
    <row r="26" spans="1:27" x14ac:dyDescent="0.25">
      <c r="A26" s="10" t="s">
        <v>85</v>
      </c>
      <c r="B26" s="11">
        <v>643800000</v>
      </c>
      <c r="C26" s="11"/>
      <c r="D26" s="11"/>
      <c r="E26" s="11"/>
      <c r="F26" s="11">
        <v>988100000</v>
      </c>
      <c r="G26" s="11">
        <v>688500000</v>
      </c>
      <c r="H26" s="11">
        <v>1130050000</v>
      </c>
      <c r="I26" s="11">
        <v>5312100000</v>
      </c>
      <c r="J26" s="11">
        <v>2030700000</v>
      </c>
      <c r="K26" s="11"/>
      <c r="L26" s="11">
        <v>11607357374.68</v>
      </c>
      <c r="M26" s="11">
        <v>179100000</v>
      </c>
      <c r="N26" s="11">
        <v>7.43</v>
      </c>
      <c r="O26" s="11">
        <v>86600000</v>
      </c>
      <c r="P26" s="12">
        <f t="shared" si="0"/>
        <v>0.56970930489801341</v>
      </c>
      <c r="Q26" s="12">
        <f t="shared" si="1"/>
        <v>0.12119500762410346</v>
      </c>
      <c r="R26" s="12" t="str">
        <f t="shared" si="2"/>
        <v/>
      </c>
      <c r="S26" s="12" t="str">
        <f t="shared" si="3"/>
        <v/>
      </c>
      <c r="T26" s="12" t="str">
        <f t="shared" si="4"/>
        <v/>
      </c>
      <c r="U26" s="13">
        <f t="shared" si="5"/>
        <v>2.0551563606922376</v>
      </c>
      <c r="V26" s="13">
        <f t="shared" si="6"/>
        <v>13.802304801821679</v>
      </c>
      <c r="W26" s="12">
        <f t="shared" si="7"/>
        <v>0.21782804714071027</v>
      </c>
      <c r="X26" s="12">
        <f t="shared" si="8"/>
        <v>0.27819198508853682</v>
      </c>
      <c r="Y26" s="13">
        <f t="shared" si="9"/>
        <v>7.434180138568129</v>
      </c>
      <c r="Z26" s="13">
        <f t="shared" si="10"/>
        <v>18.029446061944704</v>
      </c>
      <c r="AA26" s="13">
        <f t="shared" si="11"/>
        <v>86648721.399730831</v>
      </c>
    </row>
    <row r="27" spans="1:27" x14ac:dyDescent="0.25">
      <c r="A27" s="10" t="s">
        <v>86</v>
      </c>
      <c r="B27" s="11">
        <v>8508000000</v>
      </c>
      <c r="C27" s="11"/>
      <c r="D27" s="11"/>
      <c r="E27" s="11"/>
      <c r="F27" s="11">
        <v>8743000000</v>
      </c>
      <c r="G27" s="11">
        <v>5343000000</v>
      </c>
      <c r="H27" s="11">
        <v>21435000000</v>
      </c>
      <c r="I27" s="11">
        <v>40286000000</v>
      </c>
      <c r="J27" s="11">
        <v>5448000000</v>
      </c>
      <c r="K27" s="11"/>
      <c r="L27" s="11">
        <v>467372136741.65002</v>
      </c>
      <c r="M27" s="11">
        <v>1463000000</v>
      </c>
      <c r="N27" s="11">
        <v>10.65</v>
      </c>
      <c r="O27" s="11">
        <v>799000000</v>
      </c>
      <c r="P27" s="12">
        <f t="shared" si="0"/>
        <v>0.39692092372288312</v>
      </c>
      <c r="Q27" s="12">
        <f t="shared" si="1"/>
        <v>0.21118999156034354</v>
      </c>
      <c r="R27" s="12" t="str">
        <f t="shared" si="2"/>
        <v/>
      </c>
      <c r="S27" s="12" t="str">
        <f t="shared" si="3"/>
        <v/>
      </c>
      <c r="T27" s="12" t="str">
        <f t="shared" si="4"/>
        <v/>
      </c>
      <c r="U27" s="13">
        <f t="shared" si="5"/>
        <v>0.62312707308704107</v>
      </c>
      <c r="V27" s="13">
        <f t="shared" si="6"/>
        <v>54.079850936938122</v>
      </c>
      <c r="W27" s="12">
        <f t="shared" si="7"/>
        <v>0.19875013949336012</v>
      </c>
      <c r="X27" s="12">
        <f t="shared" si="8"/>
        <v>0.171955806299953</v>
      </c>
      <c r="Y27" s="13">
        <f t="shared" si="9"/>
        <v>10.648310387984981</v>
      </c>
      <c r="Z27" s="13">
        <f t="shared" si="10"/>
        <v>54.933255376310534</v>
      </c>
      <c r="AA27" s="13">
        <f t="shared" si="11"/>
        <v>798873239.43661964</v>
      </c>
    </row>
    <row r="28" spans="1:27" x14ac:dyDescent="0.25">
      <c r="A28" s="10" t="s">
        <v>87</v>
      </c>
      <c r="B28" s="11">
        <v>678000000</v>
      </c>
      <c r="C28" s="11">
        <v>15009000000</v>
      </c>
      <c r="D28" s="11">
        <v>4248000000</v>
      </c>
      <c r="E28" s="11">
        <v>1340000000</v>
      </c>
      <c r="F28" s="11">
        <v>2777000000</v>
      </c>
      <c r="G28" s="11">
        <v>763000000</v>
      </c>
      <c r="H28" s="11">
        <v>7751000000</v>
      </c>
      <c r="I28" s="11">
        <v>37582000000</v>
      </c>
      <c r="J28" s="11"/>
      <c r="K28" s="11"/>
      <c r="L28" s="11">
        <v>19742161315.740002</v>
      </c>
      <c r="M28" s="11">
        <v>1189000000</v>
      </c>
      <c r="N28" s="11">
        <v>1.46</v>
      </c>
      <c r="O28" s="11">
        <v>463500000</v>
      </c>
      <c r="P28" s="12">
        <f t="shared" si="0"/>
        <v>8.7472584182686108E-2</v>
      </c>
      <c r="Q28" s="12">
        <f t="shared" si="1"/>
        <v>1.8040551327763291E-2</v>
      </c>
      <c r="R28" s="12">
        <f t="shared" si="2"/>
        <v>4.5172896262242655E-2</v>
      </c>
      <c r="S28" s="12">
        <f t="shared" si="3"/>
        <v>8.9279765474048908E-2</v>
      </c>
      <c r="T28" s="12">
        <f t="shared" si="4"/>
        <v>0.28303018189086548</v>
      </c>
      <c r="U28" s="13">
        <f t="shared" si="5"/>
        <v>0</v>
      </c>
      <c r="V28" s="13">
        <f t="shared" si="6"/>
        <v>7.1091686408858488</v>
      </c>
      <c r="W28" s="12">
        <f t="shared" si="7"/>
        <v>9.8438911108244098E-2</v>
      </c>
      <c r="X28" s="12">
        <f t="shared" si="8"/>
        <v>1.7536873156342183</v>
      </c>
      <c r="Y28" s="13">
        <f t="shared" si="9"/>
        <v>1.4627831715210355</v>
      </c>
      <c r="Z28" s="13">
        <f t="shared" si="10"/>
        <v>29.118232029115045</v>
      </c>
      <c r="AA28" s="13">
        <f t="shared" si="11"/>
        <v>464383561.6438356</v>
      </c>
    </row>
    <row r="29" spans="1:27" x14ac:dyDescent="0.25">
      <c r="A29" s="10" t="s">
        <v>88</v>
      </c>
      <c r="B29" s="11">
        <v>5009000000</v>
      </c>
      <c r="C29" s="11">
        <v>37454000000</v>
      </c>
      <c r="D29" s="11">
        <v>18832000000</v>
      </c>
      <c r="E29" s="11">
        <v>4364000000</v>
      </c>
      <c r="F29" s="11"/>
      <c r="G29" s="11">
        <v>8574000000</v>
      </c>
      <c r="H29" s="11">
        <v>61171500000</v>
      </c>
      <c r="I29" s="11">
        <v>79642000000</v>
      </c>
      <c r="J29" s="11">
        <v>1000000</v>
      </c>
      <c r="K29" s="11"/>
      <c r="L29" s="11">
        <v>891481933582.57996</v>
      </c>
      <c r="M29" s="11"/>
      <c r="N29" s="11">
        <v>3.04</v>
      </c>
      <c r="O29" s="11">
        <v>1650000000</v>
      </c>
      <c r="P29" s="12">
        <f t="shared" si="0"/>
        <v>8.1884537734075516E-2</v>
      </c>
      <c r="Q29" s="12">
        <f t="shared" si="1"/>
        <v>6.2893950428166048E-2</v>
      </c>
      <c r="R29" s="12">
        <f t="shared" si="2"/>
        <v>0.13373738452501735</v>
      </c>
      <c r="S29" s="12">
        <f t="shared" si="3"/>
        <v>0.11651625994553319</v>
      </c>
      <c r="T29" s="12">
        <f t="shared" si="4"/>
        <v>0.50280343888503232</v>
      </c>
      <c r="U29" s="13" t="str">
        <f t="shared" si="5"/>
        <v/>
      </c>
      <c r="V29" s="13" t="str">
        <f t="shared" si="6"/>
        <v/>
      </c>
      <c r="W29" s="12">
        <f t="shared" si="7"/>
        <v>0.14016102006620623</v>
      </c>
      <c r="X29" s="12">
        <f t="shared" si="8"/>
        <v>0</v>
      </c>
      <c r="Y29" s="13">
        <f t="shared" si="9"/>
        <v>3.0357575757575757</v>
      </c>
      <c r="Z29" s="13">
        <f t="shared" si="10"/>
        <v>177.97602986276303</v>
      </c>
      <c r="AA29" s="13">
        <f t="shared" si="11"/>
        <v>1647697368.4210527</v>
      </c>
    </row>
    <row r="30" spans="1:27" x14ac:dyDescent="0.25">
      <c r="A30" s="10" t="s">
        <v>89</v>
      </c>
      <c r="B30" s="11">
        <v>1527741000</v>
      </c>
      <c r="C30" s="11">
        <v>7597582000</v>
      </c>
      <c r="D30" s="11"/>
      <c r="E30" s="11">
        <v>1970424000</v>
      </c>
      <c r="F30" s="11">
        <v>2392351000</v>
      </c>
      <c r="G30" s="11">
        <v>1703087000</v>
      </c>
      <c r="H30" s="11">
        <v>10444621500</v>
      </c>
      <c r="I30" s="11">
        <v>16309535000</v>
      </c>
      <c r="J30" s="11">
        <v>2283309000</v>
      </c>
      <c r="K30" s="11"/>
      <c r="L30" s="11">
        <v>53402008695.029999</v>
      </c>
      <c r="M30" s="11">
        <v>291686000</v>
      </c>
      <c r="N30" s="11">
        <v>6.65</v>
      </c>
      <c r="O30" s="11">
        <v>229835000</v>
      </c>
      <c r="P30" s="12">
        <f t="shared" si="0"/>
        <v>0.14627059487028801</v>
      </c>
      <c r="Q30" s="12">
        <f t="shared" si="1"/>
        <v>9.3671646677848261E-2</v>
      </c>
      <c r="R30" s="12">
        <f t="shared" si="2"/>
        <v>0.20108252862555481</v>
      </c>
      <c r="S30" s="12">
        <f t="shared" si="3"/>
        <v>0.25934882966712303</v>
      </c>
      <c r="T30" s="12">
        <f t="shared" si="4"/>
        <v>0</v>
      </c>
      <c r="U30" s="13">
        <f t="shared" si="5"/>
        <v>0.95442056788489649</v>
      </c>
      <c r="V30" s="13">
        <f t="shared" si="6"/>
        <v>23.276399531268613</v>
      </c>
      <c r="W30" s="12">
        <f t="shared" si="7"/>
        <v>0.13380706313567631</v>
      </c>
      <c r="X30" s="12">
        <f t="shared" si="8"/>
        <v>0.19092634157229529</v>
      </c>
      <c r="Y30" s="13">
        <f t="shared" si="9"/>
        <v>6.6471207605456089</v>
      </c>
      <c r="Z30" s="13">
        <f t="shared" si="10"/>
        <v>34.954883514306417</v>
      </c>
      <c r="AA30" s="13">
        <f t="shared" si="11"/>
        <v>229735488.7218045</v>
      </c>
    </row>
    <row r="31" spans="1:27" x14ac:dyDescent="0.25">
      <c r="A31" s="10" t="s">
        <v>90</v>
      </c>
      <c r="B31" s="11">
        <v>7800000000</v>
      </c>
      <c r="C31" s="11">
        <v>25484000000</v>
      </c>
      <c r="D31" s="11"/>
      <c r="E31" s="11">
        <v>10568000000</v>
      </c>
      <c r="F31" s="11">
        <v>15464000000</v>
      </c>
      <c r="G31" s="11">
        <v>8597000000</v>
      </c>
      <c r="H31" s="11">
        <v>7698500000</v>
      </c>
      <c r="I31" s="11">
        <v>92504000000</v>
      </c>
      <c r="J31" s="11">
        <v>57323000000</v>
      </c>
      <c r="K31" s="11"/>
      <c r="L31" s="11">
        <v>196248719956.59</v>
      </c>
      <c r="M31" s="11">
        <v>5203000000</v>
      </c>
      <c r="N31" s="11">
        <v>14.34</v>
      </c>
      <c r="O31" s="11">
        <v>544000000</v>
      </c>
      <c r="P31" s="12">
        <f t="shared" si="0"/>
        <v>1.0131843865688122</v>
      </c>
      <c r="Q31" s="12">
        <f t="shared" si="1"/>
        <v>8.4320678024734072E-2</v>
      </c>
      <c r="R31" s="12">
        <f t="shared" si="2"/>
        <v>0.30607439962329303</v>
      </c>
      <c r="S31" s="12">
        <f t="shared" si="3"/>
        <v>0.41469157118191807</v>
      </c>
      <c r="T31" s="12">
        <f t="shared" si="4"/>
        <v>0</v>
      </c>
      <c r="U31" s="13">
        <f t="shared" si="5"/>
        <v>3.7068675633729953</v>
      </c>
      <c r="V31" s="13">
        <f t="shared" si="6"/>
        <v>16.397550436923822</v>
      </c>
      <c r="W31" s="12">
        <f t="shared" si="7"/>
        <v>0.13221780487992432</v>
      </c>
      <c r="X31" s="12">
        <f t="shared" si="8"/>
        <v>0.66705128205128206</v>
      </c>
      <c r="Y31" s="13">
        <f t="shared" si="9"/>
        <v>14.338235294117647</v>
      </c>
      <c r="Z31" s="13">
        <f t="shared" si="10"/>
        <v>25.160092302126923</v>
      </c>
      <c r="AA31" s="13">
        <f t="shared" si="11"/>
        <v>543933054.39330542</v>
      </c>
    </row>
    <row r="32" spans="1:27" x14ac:dyDescent="0.25">
      <c r="A32" s="10" t="s">
        <v>91</v>
      </c>
      <c r="B32" s="11">
        <v>3895000000</v>
      </c>
      <c r="C32" s="11">
        <v>19316000000</v>
      </c>
      <c r="D32" s="11"/>
      <c r="E32" s="11"/>
      <c r="F32" s="11"/>
      <c r="G32" s="11">
        <v>6941000000</v>
      </c>
      <c r="H32" s="11">
        <v>5819000000</v>
      </c>
      <c r="I32" s="11">
        <v>184448000000</v>
      </c>
      <c r="J32" s="11"/>
      <c r="K32" s="11"/>
      <c r="L32" s="11">
        <v>44962925862.650002</v>
      </c>
      <c r="M32" s="11">
        <v>600000000</v>
      </c>
      <c r="N32" s="11">
        <v>41.22</v>
      </c>
      <c r="O32" s="11">
        <v>94500000</v>
      </c>
      <c r="P32" s="12">
        <f t="shared" si="0"/>
        <v>0.6693589963911325</v>
      </c>
      <c r="Q32" s="12">
        <f t="shared" si="1"/>
        <v>2.1117062803608606E-2</v>
      </c>
      <c r="R32" s="12">
        <f t="shared" si="2"/>
        <v>0.20164630358252225</v>
      </c>
      <c r="S32" s="12">
        <f t="shared" si="3"/>
        <v>0</v>
      </c>
      <c r="T32" s="12">
        <f t="shared" si="4"/>
        <v>0</v>
      </c>
      <c r="U32" s="13" t="str">
        <f t="shared" si="5"/>
        <v/>
      </c>
      <c r="V32" s="13" t="str">
        <f t="shared" si="6"/>
        <v/>
      </c>
      <c r="W32" s="12">
        <f t="shared" si="7"/>
        <v>1.1928166351606806</v>
      </c>
      <c r="X32" s="12">
        <f t="shared" si="8"/>
        <v>0.1540436456996149</v>
      </c>
      <c r="Y32" s="13">
        <f t="shared" si="9"/>
        <v>41.216931216931215</v>
      </c>
      <c r="Z32" s="13">
        <f t="shared" si="10"/>
        <v>11.54375503534018</v>
      </c>
      <c r="AA32" s="13">
        <f t="shared" si="11"/>
        <v>94492964.580300823</v>
      </c>
    </row>
    <row r="33" spans="1:27" x14ac:dyDescent="0.25">
      <c r="A33" s="10" t="s">
        <v>92</v>
      </c>
      <c r="B33" s="11">
        <v>2479400000</v>
      </c>
      <c r="C33" s="11">
        <v>10819300000</v>
      </c>
      <c r="D33" s="11"/>
      <c r="E33" s="11">
        <v>4830900000</v>
      </c>
      <c r="F33" s="11"/>
      <c r="G33" s="11">
        <v>3770800000</v>
      </c>
      <c r="H33" s="11">
        <v>3528700000</v>
      </c>
      <c r="I33" s="11">
        <v>63234600000</v>
      </c>
      <c r="J33" s="11">
        <v>38901800000</v>
      </c>
      <c r="K33" s="11"/>
      <c r="L33" s="11">
        <v>76872356385</v>
      </c>
      <c r="M33" s="11">
        <v>3216600000</v>
      </c>
      <c r="N33" s="11">
        <v>5.31</v>
      </c>
      <c r="O33" s="11">
        <v>466833000</v>
      </c>
      <c r="P33" s="12">
        <f t="shared" si="0"/>
        <v>0.70263836540368974</v>
      </c>
      <c r="Q33" s="12">
        <f t="shared" si="1"/>
        <v>3.9209546672233239E-2</v>
      </c>
      <c r="R33" s="12">
        <f t="shared" si="2"/>
        <v>0.22916454853826032</v>
      </c>
      <c r="S33" s="12">
        <f t="shared" si="3"/>
        <v>0.44650762988363385</v>
      </c>
      <c r="T33" s="12">
        <f t="shared" si="4"/>
        <v>0</v>
      </c>
      <c r="U33" s="13" t="str">
        <f t="shared" si="5"/>
        <v/>
      </c>
      <c r="V33" s="13" t="str">
        <f t="shared" si="6"/>
        <v/>
      </c>
      <c r="W33" s="12">
        <f t="shared" si="7"/>
        <v>8.8870034527050112E-2</v>
      </c>
      <c r="X33" s="12">
        <f t="shared" si="8"/>
        <v>1.2973299991933531</v>
      </c>
      <c r="Y33" s="13">
        <f t="shared" si="9"/>
        <v>5.3111069697300746</v>
      </c>
      <c r="Z33" s="13">
        <f t="shared" si="10"/>
        <v>31.004418966282167</v>
      </c>
      <c r="AA33" s="13">
        <f t="shared" si="11"/>
        <v>466930320.15065914</v>
      </c>
    </row>
    <row r="34" spans="1:27" x14ac:dyDescent="0.25">
      <c r="A34" s="10" t="s">
        <v>93</v>
      </c>
      <c r="B34" s="11">
        <v>90798000000</v>
      </c>
      <c r="C34" s="11">
        <v>742776000000</v>
      </c>
      <c r="D34" s="11"/>
      <c r="E34" s="11">
        <v>85422000000</v>
      </c>
      <c r="F34" s="11">
        <v>155861000000</v>
      </c>
      <c r="G34" s="11">
        <v>-2472000000</v>
      </c>
      <c r="H34" s="11">
        <v>373890500000</v>
      </c>
      <c r="I34" s="11">
        <v>916630000000</v>
      </c>
      <c r="J34" s="11">
        <v>122632000000</v>
      </c>
      <c r="K34" s="11"/>
      <c r="L34" s="11">
        <v>2657436242847.6401</v>
      </c>
      <c r="M34" s="11"/>
      <c r="N34" s="11">
        <v>8.35</v>
      </c>
      <c r="O34" s="11">
        <v>10874000000</v>
      </c>
      <c r="P34" s="12">
        <f t="shared" si="0"/>
        <v>0.24284650185014062</v>
      </c>
      <c r="Q34" s="12">
        <f t="shared" si="1"/>
        <v>9.9056325889399208E-2</v>
      </c>
      <c r="R34" s="12">
        <f t="shared" si="2"/>
        <v>0.12224142944844744</v>
      </c>
      <c r="S34" s="12">
        <f t="shared" si="3"/>
        <v>0.11500371579049404</v>
      </c>
      <c r="T34" s="12">
        <f t="shared" si="4"/>
        <v>0</v>
      </c>
      <c r="U34" s="13">
        <f t="shared" si="5"/>
        <v>0.78680362630805656</v>
      </c>
      <c r="V34" s="13">
        <f t="shared" si="6"/>
        <v>17.83684335945259</v>
      </c>
      <c r="W34" s="12">
        <f t="shared" si="7"/>
        <v>-4.9786263462380858E-3</v>
      </c>
      <c r="X34" s="12">
        <f t="shared" si="8"/>
        <v>0</v>
      </c>
      <c r="Y34" s="13">
        <f t="shared" si="9"/>
        <v>8.3500091962479317</v>
      </c>
      <c r="Z34" s="13">
        <f t="shared" si="10"/>
        <v>29.267563634084894</v>
      </c>
      <c r="AA34" s="13">
        <f t="shared" si="11"/>
        <v>10874011976.047905</v>
      </c>
    </row>
    <row r="35" spans="1:27" x14ac:dyDescent="0.25">
      <c r="A35" s="10" t="s">
        <v>94</v>
      </c>
      <c r="B35" s="11">
        <v>3720500000</v>
      </c>
      <c r="C35" s="11">
        <v>9709900000</v>
      </c>
      <c r="D35" s="11">
        <v>6169400000</v>
      </c>
      <c r="E35" s="11">
        <v>4155100000</v>
      </c>
      <c r="F35" s="11">
        <v>4237200000</v>
      </c>
      <c r="G35" s="11"/>
      <c r="H35" s="11">
        <v>11803100000</v>
      </c>
      <c r="I35" s="11">
        <v>21656500000</v>
      </c>
      <c r="J35" s="11"/>
      <c r="K35" s="11"/>
      <c r="L35" s="11">
        <v>232556006578.35999</v>
      </c>
      <c r="M35" s="11"/>
      <c r="N35" s="11">
        <v>2.92</v>
      </c>
      <c r="O35" s="11">
        <v>1273800000</v>
      </c>
      <c r="P35" s="12">
        <f t="shared" si="0"/>
        <v>0.31521379976446867</v>
      </c>
      <c r="Q35" s="12">
        <f t="shared" si="1"/>
        <v>0.17179599658301203</v>
      </c>
      <c r="R35" s="12">
        <f t="shared" si="2"/>
        <v>0.38316563507348173</v>
      </c>
      <c r="S35" s="12">
        <f t="shared" si="3"/>
        <v>0.42792407748792471</v>
      </c>
      <c r="T35" s="12">
        <f t="shared" si="4"/>
        <v>0.63537214595412927</v>
      </c>
      <c r="U35" s="13">
        <f t="shared" si="5"/>
        <v>0</v>
      </c>
      <c r="V35" s="13">
        <f t="shared" si="6"/>
        <v>54.884359147163217</v>
      </c>
      <c r="W35" s="12">
        <f t="shared" si="7"/>
        <v>0</v>
      </c>
      <c r="X35" s="12">
        <f t="shared" si="8"/>
        <v>0</v>
      </c>
      <c r="Y35" s="13">
        <f t="shared" si="9"/>
        <v>2.9207881928089181</v>
      </c>
      <c r="Z35" s="13">
        <f t="shared" si="10"/>
        <v>62.50665409981454</v>
      </c>
      <c r="AA35" s="13">
        <f t="shared" si="11"/>
        <v>1274143835.6164384</v>
      </c>
    </row>
    <row r="36" spans="1:27" x14ac:dyDescent="0.25">
      <c r="A36" s="10" t="s">
        <v>95</v>
      </c>
      <c r="B36" s="11">
        <v>3942000000</v>
      </c>
      <c r="C36" s="11">
        <v>17486000000</v>
      </c>
      <c r="D36" s="11"/>
      <c r="E36" s="11">
        <v>4598000000</v>
      </c>
      <c r="F36" s="11">
        <v>4786000000</v>
      </c>
      <c r="G36" s="11">
        <v>3497000000</v>
      </c>
      <c r="H36" s="11">
        <v>8419000000</v>
      </c>
      <c r="I36" s="11">
        <v>51429000000</v>
      </c>
      <c r="J36" s="11">
        <v>15249000000</v>
      </c>
      <c r="K36" s="11"/>
      <c r="L36" s="11">
        <v>75939419465.009995</v>
      </c>
      <c r="M36" s="11">
        <v>644000000</v>
      </c>
      <c r="N36" s="11">
        <v>18.3</v>
      </c>
      <c r="O36" s="11">
        <v>215400000</v>
      </c>
      <c r="P36" s="12">
        <f t="shared" si="0"/>
        <v>0.46822663024112127</v>
      </c>
      <c r="Q36" s="12">
        <f t="shared" si="1"/>
        <v>7.6649361255322873E-2</v>
      </c>
      <c r="R36" s="12">
        <f t="shared" si="2"/>
        <v>0.225437492851424</v>
      </c>
      <c r="S36" s="12">
        <f t="shared" si="3"/>
        <v>0.26295321971863206</v>
      </c>
      <c r="T36" s="12">
        <f t="shared" si="4"/>
        <v>0</v>
      </c>
      <c r="U36" s="13">
        <f t="shared" si="5"/>
        <v>3.1861679899707478</v>
      </c>
      <c r="V36" s="13">
        <f t="shared" si="6"/>
        <v>19.053159102592979</v>
      </c>
      <c r="W36" s="12">
        <f t="shared" si="7"/>
        <v>0.14775223931046139</v>
      </c>
      <c r="X36" s="12">
        <f t="shared" si="8"/>
        <v>0.16336884830035514</v>
      </c>
      <c r="Y36" s="13">
        <f t="shared" si="9"/>
        <v>18.300835654596099</v>
      </c>
      <c r="Z36" s="13">
        <f t="shared" si="10"/>
        <v>19.264185556826483</v>
      </c>
      <c r="AA36" s="13">
        <f t="shared" si="11"/>
        <v>215409836.06557375</v>
      </c>
    </row>
    <row r="37" spans="1:27" x14ac:dyDescent="0.25">
      <c r="A37" s="10" t="s">
        <v>96</v>
      </c>
      <c r="B37" s="11">
        <v>527600000</v>
      </c>
      <c r="C37" s="11">
        <v>3811900000</v>
      </c>
      <c r="D37" s="11">
        <v>1477700000</v>
      </c>
      <c r="E37" s="11">
        <v>706400000</v>
      </c>
      <c r="F37" s="11">
        <v>794700000</v>
      </c>
      <c r="G37" s="11">
        <v>647500000</v>
      </c>
      <c r="H37" s="11">
        <v>1866500000</v>
      </c>
      <c r="I37" s="11">
        <v>3650300000</v>
      </c>
      <c r="J37" s="11">
        <v>155000000</v>
      </c>
      <c r="K37" s="11"/>
      <c r="L37" s="11">
        <v>8134645451.5699997</v>
      </c>
      <c r="M37" s="11">
        <v>196700000</v>
      </c>
      <c r="N37" s="11">
        <v>3.79</v>
      </c>
      <c r="O37" s="11">
        <v>139167380</v>
      </c>
      <c r="P37" s="12">
        <f t="shared" si="0"/>
        <v>0.28266809536565762</v>
      </c>
      <c r="Q37" s="12">
        <f t="shared" si="1"/>
        <v>0.14453606552886064</v>
      </c>
      <c r="R37" s="12">
        <f t="shared" si="2"/>
        <v>0.1384086675935885</v>
      </c>
      <c r="S37" s="12">
        <f t="shared" si="3"/>
        <v>0.18531441013667724</v>
      </c>
      <c r="T37" s="12">
        <f t="shared" si="4"/>
        <v>0.38765445053647785</v>
      </c>
      <c r="U37" s="13">
        <f t="shared" si="5"/>
        <v>0.19504215427205235</v>
      </c>
      <c r="V37" s="13">
        <f t="shared" si="6"/>
        <v>10.431163271133761</v>
      </c>
      <c r="W37" s="12">
        <f t="shared" si="7"/>
        <v>0.32030670294335889</v>
      </c>
      <c r="X37" s="12">
        <f t="shared" si="8"/>
        <v>0.37282031842304775</v>
      </c>
      <c r="Y37" s="13">
        <f t="shared" si="9"/>
        <v>3.791118292231987</v>
      </c>
      <c r="Z37" s="13">
        <f t="shared" si="10"/>
        <v>15.418205935500378</v>
      </c>
      <c r="AA37" s="13">
        <f t="shared" si="11"/>
        <v>139208443.2717678</v>
      </c>
    </row>
    <row r="38" spans="1:27" x14ac:dyDescent="0.25">
      <c r="A38" s="10" t="s">
        <v>97</v>
      </c>
      <c r="B38" s="11">
        <v>1533000000</v>
      </c>
      <c r="C38" s="11"/>
      <c r="D38" s="11"/>
      <c r="E38" s="11"/>
      <c r="F38" s="11">
        <v>5491000000</v>
      </c>
      <c r="G38" s="11"/>
      <c r="H38" s="11">
        <v>5946000000</v>
      </c>
      <c r="I38" s="11">
        <v>18079000000</v>
      </c>
      <c r="J38" s="11">
        <v>8715000000</v>
      </c>
      <c r="K38" s="11"/>
      <c r="L38" s="11">
        <v>11767024180.440001</v>
      </c>
      <c r="M38" s="11">
        <v>357000000</v>
      </c>
      <c r="N38" s="11">
        <v>4.33</v>
      </c>
      <c r="O38" s="11">
        <v>354000000</v>
      </c>
      <c r="P38" s="12">
        <f t="shared" si="0"/>
        <v>0.25782038345105951</v>
      </c>
      <c r="Q38" s="12">
        <f t="shared" si="1"/>
        <v>8.4794512970850153E-2</v>
      </c>
      <c r="R38" s="12" t="str">
        <f t="shared" si="2"/>
        <v/>
      </c>
      <c r="S38" s="12" t="str">
        <f t="shared" si="3"/>
        <v/>
      </c>
      <c r="T38" s="12" t="str">
        <f t="shared" si="4"/>
        <v/>
      </c>
      <c r="U38" s="13">
        <f t="shared" si="5"/>
        <v>1.5871425969768713</v>
      </c>
      <c r="V38" s="13">
        <f t="shared" si="6"/>
        <v>3.7301082098779825</v>
      </c>
      <c r="W38" s="12">
        <f t="shared" si="7"/>
        <v>0</v>
      </c>
      <c r="X38" s="12">
        <f t="shared" si="8"/>
        <v>0.23287671232876711</v>
      </c>
      <c r="Y38" s="13">
        <f t="shared" si="9"/>
        <v>4.3305084745762707</v>
      </c>
      <c r="Z38" s="13">
        <f t="shared" si="10"/>
        <v>7.6758148600391394</v>
      </c>
      <c r="AA38" s="13">
        <f t="shared" si="11"/>
        <v>354041570.43879908</v>
      </c>
    </row>
    <row r="39" spans="1:27" x14ac:dyDescent="0.25">
      <c r="A39" s="10" t="s">
        <v>98</v>
      </c>
      <c r="B39" s="11">
        <v>2107300000</v>
      </c>
      <c r="C39" s="11">
        <v>12463900000</v>
      </c>
      <c r="D39" s="11">
        <v>2998200000</v>
      </c>
      <c r="E39" s="11">
        <v>2294600000</v>
      </c>
      <c r="F39" s="11">
        <v>3854100000</v>
      </c>
      <c r="G39" s="11"/>
      <c r="H39" s="11">
        <v>15176650000</v>
      </c>
      <c r="I39" s="11">
        <v>41644700000</v>
      </c>
      <c r="J39" s="11"/>
      <c r="K39" s="11"/>
      <c r="L39" s="11">
        <v>65880082312.239998</v>
      </c>
      <c r="M39" s="11">
        <v>1593700000</v>
      </c>
      <c r="N39" s="11">
        <v>9.4499999999999993</v>
      </c>
      <c r="O39" s="11">
        <v>222900000</v>
      </c>
      <c r="P39" s="12">
        <f t="shared" si="0"/>
        <v>0.13885145931414378</v>
      </c>
      <c r="Q39" s="12">
        <f t="shared" si="1"/>
        <v>5.0601877309717685E-2</v>
      </c>
      <c r="R39" s="12">
        <f t="shared" si="2"/>
        <v>0.16907228074679675</v>
      </c>
      <c r="S39" s="12">
        <f t="shared" si="3"/>
        <v>0.1840996798754804</v>
      </c>
      <c r="T39" s="12">
        <f t="shared" si="4"/>
        <v>0.24055071045178475</v>
      </c>
      <c r="U39" s="13">
        <f t="shared" si="5"/>
        <v>0</v>
      </c>
      <c r="V39" s="13">
        <f t="shared" si="6"/>
        <v>17.093506217337382</v>
      </c>
      <c r="W39" s="12">
        <f t="shared" si="7"/>
        <v>0</v>
      </c>
      <c r="X39" s="12">
        <f t="shared" si="8"/>
        <v>0.75627580316044229</v>
      </c>
      <c r="Y39" s="13">
        <f t="shared" si="9"/>
        <v>9.4540152534768946</v>
      </c>
      <c r="Z39" s="13">
        <f t="shared" si="10"/>
        <v>31.262792346718548</v>
      </c>
      <c r="AA39" s="13">
        <f t="shared" si="11"/>
        <v>222994708.99470901</v>
      </c>
    </row>
    <row r="40" spans="1:27" x14ac:dyDescent="0.25">
      <c r="A40" s="10" t="s">
        <v>99</v>
      </c>
      <c r="B40" s="11">
        <v>4465500000</v>
      </c>
      <c r="C40" s="11">
        <v>25903800000</v>
      </c>
      <c r="D40" s="11">
        <v>9673900000</v>
      </c>
      <c r="E40" s="11">
        <v>6675600000</v>
      </c>
      <c r="F40" s="11">
        <v>7847500000</v>
      </c>
      <c r="G40" s="11">
        <v>4631700000</v>
      </c>
      <c r="H40" s="11">
        <v>12139000000</v>
      </c>
      <c r="I40" s="11">
        <v>42133800000</v>
      </c>
      <c r="J40" s="11"/>
      <c r="K40" s="11"/>
      <c r="L40" s="11">
        <v>199593243114.67999</v>
      </c>
      <c r="M40" s="11">
        <v>909400000</v>
      </c>
      <c r="N40" s="11">
        <v>3.46</v>
      </c>
      <c r="O40" s="11">
        <v>1289700000</v>
      </c>
      <c r="P40" s="12">
        <f t="shared" si="0"/>
        <v>0.36786390971249688</v>
      </c>
      <c r="Q40" s="12">
        <f t="shared" si="1"/>
        <v>0.10598379448328896</v>
      </c>
      <c r="R40" s="12">
        <f t="shared" si="2"/>
        <v>0.172387834989461</v>
      </c>
      <c r="S40" s="12">
        <f t="shared" si="3"/>
        <v>0.25770736339842032</v>
      </c>
      <c r="T40" s="12">
        <f t="shared" si="4"/>
        <v>0.37345485990472438</v>
      </c>
      <c r="U40" s="13">
        <f t="shared" si="5"/>
        <v>0</v>
      </c>
      <c r="V40" s="13">
        <f t="shared" si="6"/>
        <v>25.433990839717108</v>
      </c>
      <c r="W40" s="12">
        <f t="shared" si="7"/>
        <v>0.38155531757146388</v>
      </c>
      <c r="X40" s="12">
        <f t="shared" si="8"/>
        <v>0.20365020714365692</v>
      </c>
      <c r="Y40" s="13">
        <f t="shared" si="9"/>
        <v>3.4624331239823216</v>
      </c>
      <c r="Z40" s="13">
        <f t="shared" si="10"/>
        <v>44.69672894741462</v>
      </c>
      <c r="AA40" s="13">
        <f t="shared" si="11"/>
        <v>1290606936.4161849</v>
      </c>
    </row>
    <row r="41" spans="1:27" x14ac:dyDescent="0.25">
      <c r="A41" s="10" t="s">
        <v>100</v>
      </c>
      <c r="B41" s="11">
        <v>1144000000</v>
      </c>
      <c r="C41" s="11">
        <v>31560000000</v>
      </c>
      <c r="D41" s="11"/>
      <c r="E41" s="11"/>
      <c r="F41" s="11"/>
      <c r="G41" s="11"/>
      <c r="H41" s="11">
        <v>18963500000</v>
      </c>
      <c r="I41" s="11">
        <v>467530000000</v>
      </c>
      <c r="J41" s="11">
        <v>14220000000</v>
      </c>
      <c r="K41" s="11"/>
      <c r="L41" s="11">
        <v>69089856646.649994</v>
      </c>
      <c r="M41" s="11">
        <v>1235000000</v>
      </c>
      <c r="N41" s="11">
        <v>1.92</v>
      </c>
      <c r="O41" s="11">
        <v>594853870</v>
      </c>
      <c r="P41" s="12">
        <f t="shared" si="0"/>
        <v>6.0326416537031663E-2</v>
      </c>
      <c r="Q41" s="12">
        <f t="shared" si="1"/>
        <v>2.4469018030928496E-3</v>
      </c>
      <c r="R41" s="12">
        <f t="shared" si="2"/>
        <v>3.6248415716096327E-2</v>
      </c>
      <c r="S41" s="12">
        <f t="shared" si="3"/>
        <v>0</v>
      </c>
      <c r="T41" s="12">
        <f t="shared" si="4"/>
        <v>0</v>
      </c>
      <c r="U41" s="13" t="str">
        <f t="shared" si="5"/>
        <v/>
      </c>
      <c r="V41" s="13" t="str">
        <f t="shared" si="6"/>
        <v/>
      </c>
      <c r="W41" s="12">
        <f t="shared" si="7"/>
        <v>0</v>
      </c>
      <c r="X41" s="12">
        <f t="shared" si="8"/>
        <v>1.0795454545454546</v>
      </c>
      <c r="Y41" s="13">
        <f t="shared" si="9"/>
        <v>1.9231613976050959</v>
      </c>
      <c r="Z41" s="13">
        <f t="shared" si="10"/>
        <v>60.393231334484263</v>
      </c>
      <c r="AA41" s="13">
        <f t="shared" si="11"/>
        <v>595833333.33333337</v>
      </c>
    </row>
    <row r="42" spans="1:27" x14ac:dyDescent="0.25">
      <c r="A42" s="10" t="s">
        <v>101</v>
      </c>
      <c r="B42" s="11">
        <v>3962945000</v>
      </c>
      <c r="C42" s="11">
        <v>5480717000</v>
      </c>
      <c r="D42" s="11"/>
      <c r="E42" s="11">
        <v>4928376000</v>
      </c>
      <c r="F42" s="11">
        <v>5076932000</v>
      </c>
      <c r="G42" s="11">
        <v>4425999000</v>
      </c>
      <c r="H42" s="11">
        <v>1469452000</v>
      </c>
      <c r="I42" s="11">
        <v>7707705000</v>
      </c>
      <c r="J42" s="11">
        <v>3512987000</v>
      </c>
      <c r="K42" s="11"/>
      <c r="L42" s="11">
        <v>174833002453.54001</v>
      </c>
      <c r="M42" s="11"/>
      <c r="N42" s="11">
        <v>11.7</v>
      </c>
      <c r="O42" s="11">
        <v>338729000</v>
      </c>
      <c r="P42" s="12">
        <f t="shared" si="0"/>
        <v>2.6968863222480217</v>
      </c>
      <c r="Q42" s="12">
        <f t="shared" si="1"/>
        <v>0.5141536942578887</v>
      </c>
      <c r="R42" s="12">
        <f t="shared" si="2"/>
        <v>0.72307053985819736</v>
      </c>
      <c r="S42" s="12">
        <f t="shared" si="3"/>
        <v>0.89922103257657715</v>
      </c>
      <c r="T42" s="12">
        <f t="shared" si="4"/>
        <v>0</v>
      </c>
      <c r="U42" s="13">
        <f t="shared" si="5"/>
        <v>0.69195076869258831</v>
      </c>
      <c r="V42" s="13">
        <f t="shared" si="6"/>
        <v>35.128693757084001</v>
      </c>
      <c r="W42" s="12">
        <f t="shared" si="7"/>
        <v>0.88831975664930374</v>
      </c>
      <c r="X42" s="12">
        <f t="shared" si="8"/>
        <v>0</v>
      </c>
      <c r="Y42" s="13">
        <f t="shared" si="9"/>
        <v>11.699455907229673</v>
      </c>
      <c r="Z42" s="13">
        <f t="shared" si="10"/>
        <v>44.116938906177097</v>
      </c>
      <c r="AA42" s="13">
        <f t="shared" si="11"/>
        <v>338713247.86324787</v>
      </c>
    </row>
    <row r="43" spans="1:27" x14ac:dyDescent="0.25">
      <c r="A43" s="10" t="s">
        <v>102</v>
      </c>
      <c r="B43" s="11">
        <v>365000000</v>
      </c>
      <c r="C43" s="11">
        <v>20659000000</v>
      </c>
      <c r="D43" s="11">
        <v>1940000000</v>
      </c>
      <c r="E43" s="11">
        <v>1114000000</v>
      </c>
      <c r="F43" s="11">
        <v>2113000000</v>
      </c>
      <c r="G43" s="11">
        <v>925000000</v>
      </c>
      <c r="H43" s="11">
        <v>9097000000</v>
      </c>
      <c r="I43" s="11">
        <v>25203000000</v>
      </c>
      <c r="J43" s="11">
        <v>7653000000</v>
      </c>
      <c r="K43" s="11"/>
      <c r="L43" s="11">
        <v>12667604875.379999</v>
      </c>
      <c r="M43" s="11">
        <v>0</v>
      </c>
      <c r="N43" s="11">
        <v>1.71</v>
      </c>
      <c r="O43" s="11">
        <v>213800000</v>
      </c>
      <c r="P43" s="12">
        <f t="shared" si="0"/>
        <v>4.0123117511267452E-2</v>
      </c>
      <c r="Q43" s="12">
        <f t="shared" si="1"/>
        <v>1.4482402888545014E-2</v>
      </c>
      <c r="R43" s="12">
        <f t="shared" si="2"/>
        <v>1.7667844522968199E-2</v>
      </c>
      <c r="S43" s="12">
        <f t="shared" si="3"/>
        <v>5.3923229585168694E-2</v>
      </c>
      <c r="T43" s="12">
        <f t="shared" si="4"/>
        <v>9.3905803765913162E-2</v>
      </c>
      <c r="U43" s="13">
        <f t="shared" si="5"/>
        <v>3.621864647420729</v>
      </c>
      <c r="V43" s="13">
        <f t="shared" si="6"/>
        <v>9.6169450427733061</v>
      </c>
      <c r="W43" s="12">
        <f t="shared" si="7"/>
        <v>5.5223880597014927E-2</v>
      </c>
      <c r="X43" s="12">
        <f t="shared" si="8"/>
        <v>0</v>
      </c>
      <c r="Y43" s="13">
        <f t="shared" si="9"/>
        <v>1.707202993451824</v>
      </c>
      <c r="Z43" s="13">
        <f t="shared" si="10"/>
        <v>34.705766781863012</v>
      </c>
      <c r="AA43" s="13">
        <f t="shared" si="11"/>
        <v>213450292.39766082</v>
      </c>
    </row>
    <row r="44" spans="1:27" x14ac:dyDescent="0.25">
      <c r="A44" s="10" t="s">
        <v>103</v>
      </c>
      <c r="B44" s="11">
        <v>-1058978000</v>
      </c>
      <c r="C44" s="11"/>
      <c r="D44" s="11"/>
      <c r="E44" s="11"/>
      <c r="F44" s="11"/>
      <c r="G44" s="11"/>
      <c r="H44" s="11">
        <v>16599369500</v>
      </c>
      <c r="I44" s="11">
        <v>34167397000</v>
      </c>
      <c r="J44" s="11">
        <v>12519995000</v>
      </c>
      <c r="K44" s="11"/>
      <c r="L44" s="11">
        <v>8453812182.29</v>
      </c>
      <c r="M44" s="11"/>
      <c r="N44" s="11">
        <v>-6.2</v>
      </c>
      <c r="O44" s="11">
        <v>170867000</v>
      </c>
      <c r="P44" s="12">
        <f t="shared" si="0"/>
        <v>-6.3796278527325986E-2</v>
      </c>
      <c r="Q44" s="12">
        <f t="shared" si="1"/>
        <v>-3.0993815537074716E-2</v>
      </c>
      <c r="R44" s="12" t="str">
        <f t="shared" si="2"/>
        <v/>
      </c>
      <c r="S44" s="12" t="str">
        <f t="shared" si="3"/>
        <v/>
      </c>
      <c r="T44" s="12" t="str">
        <f t="shared" si="4"/>
        <v/>
      </c>
      <c r="U44" s="13" t="str">
        <f t="shared" si="5"/>
        <v/>
      </c>
      <c r="V44" s="13" t="str">
        <f t="shared" si="6"/>
        <v/>
      </c>
      <c r="W44" s="12">
        <f t="shared" si="7"/>
        <v>0</v>
      </c>
      <c r="X44" s="12">
        <f t="shared" si="8"/>
        <v>0</v>
      </c>
      <c r="Y44" s="13">
        <f t="shared" si="9"/>
        <v>-6.1976742144474946</v>
      </c>
      <c r="Z44" s="13">
        <f t="shared" si="10"/>
        <v>-7.9829913202068408</v>
      </c>
      <c r="AA44" s="13">
        <f t="shared" si="11"/>
        <v>170802903.22580644</v>
      </c>
    </row>
    <row r="45" spans="1:27" x14ac:dyDescent="0.25">
      <c r="A45" s="10" t="s">
        <v>104</v>
      </c>
      <c r="B45" s="11">
        <v>622781000</v>
      </c>
      <c r="C45" s="11">
        <v>5049971000</v>
      </c>
      <c r="D45" s="11"/>
      <c r="E45" s="11"/>
      <c r="F45" s="11"/>
      <c r="G45" s="11"/>
      <c r="H45" s="11">
        <v>4239771000</v>
      </c>
      <c r="I45" s="11">
        <v>28394933000</v>
      </c>
      <c r="J45" s="11"/>
      <c r="K45" s="11"/>
      <c r="L45" s="11">
        <v>27436561096.990002</v>
      </c>
      <c r="M45" s="11"/>
      <c r="N45" s="11"/>
      <c r="O45" s="11"/>
      <c r="P45" s="12">
        <f t="shared" si="0"/>
        <v>0.14689024477972984</v>
      </c>
      <c r="Q45" s="12">
        <f t="shared" si="1"/>
        <v>2.1932821605882995E-2</v>
      </c>
      <c r="R45" s="12">
        <f t="shared" si="2"/>
        <v>0.12332367849241115</v>
      </c>
      <c r="S45" s="12">
        <f t="shared" si="3"/>
        <v>0</v>
      </c>
      <c r="T45" s="12">
        <f t="shared" si="4"/>
        <v>0</v>
      </c>
      <c r="U45" s="13" t="str">
        <f t="shared" si="5"/>
        <v/>
      </c>
      <c r="V45" s="13" t="str">
        <f t="shared" si="6"/>
        <v/>
      </c>
      <c r="W45" s="12">
        <f t="shared" si="7"/>
        <v>0</v>
      </c>
      <c r="X45" s="12">
        <f t="shared" si="8"/>
        <v>0</v>
      </c>
      <c r="Y45" s="13" t="str">
        <f t="shared" si="9"/>
        <v/>
      </c>
      <c r="Z45" s="13">
        <f t="shared" si="10"/>
        <v>44.054910308744169</v>
      </c>
      <c r="AA45" s="13" t="str">
        <f t="shared" si="11"/>
        <v/>
      </c>
    </row>
    <row r="46" spans="1:27" x14ac:dyDescent="0.25">
      <c r="A46" s="10" t="s">
        <v>105</v>
      </c>
      <c r="B46" s="11">
        <v>1346183000</v>
      </c>
      <c r="C46" s="11">
        <v>4881241000</v>
      </c>
      <c r="D46" s="11"/>
      <c r="E46" s="11">
        <v>1751120000</v>
      </c>
      <c r="F46" s="11">
        <v>2512914000</v>
      </c>
      <c r="G46" s="11">
        <v>-1991433000</v>
      </c>
      <c r="H46" s="11">
        <v>14023307500</v>
      </c>
      <c r="I46" s="11">
        <v>30380096000</v>
      </c>
      <c r="J46" s="11"/>
      <c r="K46" s="11"/>
      <c r="L46" s="11">
        <v>29164231503.599998</v>
      </c>
      <c r="M46" s="11">
        <v>604402000</v>
      </c>
      <c r="N46" s="11">
        <v>8.09</v>
      </c>
      <c r="O46" s="11">
        <v>166342000</v>
      </c>
      <c r="P46" s="12">
        <f t="shared" si="0"/>
        <v>9.5996112186800445E-2</v>
      </c>
      <c r="Q46" s="12">
        <f t="shared" si="1"/>
        <v>4.431134779824264E-2</v>
      </c>
      <c r="R46" s="12">
        <f t="shared" si="2"/>
        <v>0.27578703858301606</v>
      </c>
      <c r="S46" s="12">
        <f t="shared" si="3"/>
        <v>0.35874483558586845</v>
      </c>
      <c r="T46" s="12">
        <f t="shared" si="4"/>
        <v>0</v>
      </c>
      <c r="U46" s="13">
        <f t="shared" si="5"/>
        <v>0</v>
      </c>
      <c r="V46" s="13">
        <f t="shared" si="6"/>
        <v>11.605741980664678</v>
      </c>
      <c r="W46" s="12">
        <f t="shared" si="7"/>
        <v>-0.14200879500075142</v>
      </c>
      <c r="X46" s="12">
        <f t="shared" si="8"/>
        <v>0.44897461934967237</v>
      </c>
      <c r="Y46" s="13">
        <f t="shared" si="9"/>
        <v>8.0928628969232062</v>
      </c>
      <c r="Z46" s="13">
        <f t="shared" si="10"/>
        <v>21.664388499631922</v>
      </c>
      <c r="AA46" s="13">
        <f t="shared" si="11"/>
        <v>166400865.26576021</v>
      </c>
    </row>
    <row r="47" spans="1:27" x14ac:dyDescent="0.25">
      <c r="A47" s="10" t="s">
        <v>106</v>
      </c>
      <c r="B47" s="11">
        <v>1168660000</v>
      </c>
      <c r="C47" s="11">
        <v>3065124000</v>
      </c>
      <c r="D47" s="11"/>
      <c r="E47" s="11">
        <v>2027857000</v>
      </c>
      <c r="F47" s="11">
        <v>2956449000</v>
      </c>
      <c r="G47" s="11"/>
      <c r="H47" s="11">
        <v>11490925000</v>
      </c>
      <c r="I47" s="11">
        <v>22126953000</v>
      </c>
      <c r="J47" s="11">
        <v>9360218000</v>
      </c>
      <c r="K47" s="11"/>
      <c r="L47" s="11">
        <v>26879083145.25</v>
      </c>
      <c r="M47" s="11"/>
      <c r="N47" s="11">
        <v>8.3000000000000007</v>
      </c>
      <c r="O47" s="11">
        <v>140812786</v>
      </c>
      <c r="P47" s="12">
        <f t="shared" si="0"/>
        <v>0.10170286552214029</v>
      </c>
      <c r="Q47" s="12">
        <f t="shared" si="1"/>
        <v>5.2816128818098003E-2</v>
      </c>
      <c r="R47" s="12">
        <f t="shared" si="2"/>
        <v>0.3812765813063354</v>
      </c>
      <c r="S47" s="12">
        <f t="shared" si="3"/>
        <v>0.66159052619078385</v>
      </c>
      <c r="T47" s="12">
        <f t="shared" si="4"/>
        <v>0</v>
      </c>
      <c r="U47" s="13">
        <f t="shared" si="5"/>
        <v>3.1660339819831154</v>
      </c>
      <c r="V47" s="13">
        <f t="shared" si="6"/>
        <v>12.257712257255241</v>
      </c>
      <c r="W47" s="12">
        <f t="shared" si="7"/>
        <v>0</v>
      </c>
      <c r="X47" s="12">
        <f t="shared" si="8"/>
        <v>0</v>
      </c>
      <c r="Y47" s="13">
        <f t="shared" si="9"/>
        <v>8.29938838082502</v>
      </c>
      <c r="Z47" s="13">
        <f t="shared" si="10"/>
        <v>22.999917123243716</v>
      </c>
      <c r="AA47" s="13">
        <f t="shared" si="11"/>
        <v>140802409.63855422</v>
      </c>
    </row>
    <row r="48" spans="1:27" x14ac:dyDescent="0.25">
      <c r="A48" s="10" t="s">
        <v>107</v>
      </c>
      <c r="B48" s="11">
        <v>5895000000</v>
      </c>
      <c r="C48" s="11">
        <v>75465000000</v>
      </c>
      <c r="D48" s="11">
        <v>51524000000</v>
      </c>
      <c r="E48" s="11">
        <v>32746000000</v>
      </c>
      <c r="F48" s="11">
        <v>33349000000</v>
      </c>
      <c r="G48" s="11">
        <v>32762000000</v>
      </c>
      <c r="H48" s="11"/>
      <c r="I48" s="11">
        <v>179158000000</v>
      </c>
      <c r="J48" s="11">
        <v>64907000000</v>
      </c>
      <c r="K48" s="11"/>
      <c r="L48" s="11">
        <v>1908312923528.6599</v>
      </c>
      <c r="M48" s="11">
        <v>11761000000</v>
      </c>
      <c r="N48" s="11">
        <v>1.21</v>
      </c>
      <c r="O48" s="11">
        <v>4882000000</v>
      </c>
      <c r="P48" s="12" t="str">
        <f t="shared" si="0"/>
        <v/>
      </c>
      <c r="Q48" s="12">
        <f t="shared" si="1"/>
        <v>3.2903917212739595E-2</v>
      </c>
      <c r="R48" s="12">
        <f t="shared" si="2"/>
        <v>7.8115682766845551E-2</v>
      </c>
      <c r="S48" s="12">
        <f t="shared" si="3"/>
        <v>0.43392301066719674</v>
      </c>
      <c r="T48" s="12">
        <f t="shared" si="4"/>
        <v>0.68275359438150141</v>
      </c>
      <c r="U48" s="13">
        <f t="shared" si="5"/>
        <v>1.9462952412366188</v>
      </c>
      <c r="V48" s="13">
        <f t="shared" si="6"/>
        <v>59.168788375323395</v>
      </c>
      <c r="W48" s="12">
        <f t="shared" si="7"/>
        <v>0.50475295422681687</v>
      </c>
      <c r="X48" s="12">
        <f t="shared" si="8"/>
        <v>1.995080576759966</v>
      </c>
      <c r="Y48" s="13">
        <f t="shared" si="9"/>
        <v>1.2074969274887342</v>
      </c>
      <c r="Z48" s="13">
        <f t="shared" si="10"/>
        <v>323.7172050091026</v>
      </c>
      <c r="AA48" s="13">
        <f t="shared" si="11"/>
        <v>4871900826.4462814</v>
      </c>
    </row>
    <row r="49" spans="1:27" x14ac:dyDescent="0.25">
      <c r="A49" s="10" t="s">
        <v>108</v>
      </c>
      <c r="B49" s="11">
        <v>689800000</v>
      </c>
      <c r="C49" s="11">
        <v>9005700000</v>
      </c>
      <c r="D49" s="11">
        <v>2589600000</v>
      </c>
      <c r="E49" s="11"/>
      <c r="F49" s="11"/>
      <c r="G49" s="11">
        <v>872900000</v>
      </c>
      <c r="H49" s="11">
        <v>2235500000</v>
      </c>
      <c r="I49" s="11">
        <v>8978600000</v>
      </c>
      <c r="J49" s="11">
        <v>3199000000</v>
      </c>
      <c r="K49" s="11"/>
      <c r="L49" s="11">
        <v>12167326102.18</v>
      </c>
      <c r="M49" s="11">
        <v>291300000</v>
      </c>
      <c r="N49" s="11">
        <v>8.9600000000000009</v>
      </c>
      <c r="O49" s="11">
        <v>77000000</v>
      </c>
      <c r="P49" s="12">
        <f t="shared" si="0"/>
        <v>0.30856631626034442</v>
      </c>
      <c r="Q49" s="12">
        <f t="shared" si="1"/>
        <v>7.6827122268505119E-2</v>
      </c>
      <c r="R49" s="12">
        <f t="shared" si="2"/>
        <v>7.6595933686443032E-2</v>
      </c>
      <c r="S49" s="12">
        <f t="shared" si="3"/>
        <v>0</v>
      </c>
      <c r="T49" s="12">
        <f t="shared" si="4"/>
        <v>0.28755121756221058</v>
      </c>
      <c r="U49" s="13" t="str">
        <f t="shared" si="5"/>
        <v/>
      </c>
      <c r="V49" s="13" t="str">
        <f t="shared" si="6"/>
        <v/>
      </c>
      <c r="W49" s="12">
        <f t="shared" si="7"/>
        <v>0.16062195234152177</v>
      </c>
      <c r="X49" s="12">
        <f t="shared" si="8"/>
        <v>0.42229631777326759</v>
      </c>
      <c r="Y49" s="13">
        <f t="shared" si="9"/>
        <v>8.9584415584415584</v>
      </c>
      <c r="Z49" s="13">
        <f t="shared" si="10"/>
        <v>17.6389186752392</v>
      </c>
      <c r="AA49" s="13">
        <f t="shared" si="11"/>
        <v>76986607.142857134</v>
      </c>
    </row>
    <row r="50" spans="1:27" x14ac:dyDescent="0.25">
      <c r="A50" s="10" t="s">
        <v>109</v>
      </c>
      <c r="B50" s="11">
        <v>1102000000</v>
      </c>
      <c r="C50" s="11">
        <v>5190000000</v>
      </c>
      <c r="D50" s="11"/>
      <c r="E50" s="11">
        <v>1899000000</v>
      </c>
      <c r="F50" s="11">
        <v>2814000000</v>
      </c>
      <c r="G50" s="11">
        <v>-1204000000</v>
      </c>
      <c r="H50" s="11">
        <v>10785500000</v>
      </c>
      <c r="I50" s="11">
        <v>35264000000</v>
      </c>
      <c r="J50" s="11">
        <v>9656000000</v>
      </c>
      <c r="K50" s="11"/>
      <c r="L50" s="11">
        <v>25493872612.5</v>
      </c>
      <c r="M50" s="11">
        <v>646000000</v>
      </c>
      <c r="N50" s="11">
        <v>5.65</v>
      </c>
      <c r="O50" s="11">
        <v>195000000</v>
      </c>
      <c r="P50" s="12">
        <f t="shared" si="0"/>
        <v>0.10217421538176255</v>
      </c>
      <c r="Q50" s="12">
        <f t="shared" si="1"/>
        <v>3.125E-2</v>
      </c>
      <c r="R50" s="12">
        <f t="shared" si="2"/>
        <v>0.21233140655105973</v>
      </c>
      <c r="S50" s="12">
        <f t="shared" si="3"/>
        <v>0.36589595375722545</v>
      </c>
      <c r="T50" s="12">
        <f t="shared" si="4"/>
        <v>0</v>
      </c>
      <c r="U50" s="13">
        <f t="shared" si="5"/>
        <v>3.4314143567874913</v>
      </c>
      <c r="V50" s="13">
        <f t="shared" si="6"/>
        <v>12.491070580135039</v>
      </c>
      <c r="W50" s="12">
        <f t="shared" si="7"/>
        <v>-5.8899787197612699E-2</v>
      </c>
      <c r="X50" s="12">
        <f t="shared" si="8"/>
        <v>0.58620689655172409</v>
      </c>
      <c r="Y50" s="13">
        <f t="shared" si="9"/>
        <v>5.6512820512820516</v>
      </c>
      <c r="Z50" s="13">
        <f t="shared" si="10"/>
        <v>23.134185673774954</v>
      </c>
      <c r="AA50" s="13">
        <f t="shared" si="11"/>
        <v>195044247.78761062</v>
      </c>
    </row>
    <row r="51" spans="1:27" x14ac:dyDescent="0.25">
      <c r="A51" s="10" t="s">
        <v>110</v>
      </c>
      <c r="B51" s="11">
        <v>205988000</v>
      </c>
      <c r="C51" s="11">
        <v>2983248000</v>
      </c>
      <c r="D51" s="11">
        <v>1769672000</v>
      </c>
      <c r="E51" s="11">
        <v>-24040000</v>
      </c>
      <c r="F51" s="11">
        <v>70029000</v>
      </c>
      <c r="G51" s="11">
        <v>19507000</v>
      </c>
      <c r="H51" s="11">
        <v>3044983000</v>
      </c>
      <c r="I51" s="11">
        <v>7066849000</v>
      </c>
      <c r="J51" s="11">
        <v>1730987000</v>
      </c>
      <c r="K51" s="11"/>
      <c r="L51" s="11">
        <v>46910408814</v>
      </c>
      <c r="M51" s="11"/>
      <c r="N51" s="11">
        <v>2.5</v>
      </c>
      <c r="O51" s="11">
        <v>82478000</v>
      </c>
      <c r="P51" s="12">
        <f t="shared" si="0"/>
        <v>6.7648325130222398E-2</v>
      </c>
      <c r="Q51" s="12">
        <f t="shared" si="1"/>
        <v>2.9148493196897232E-2</v>
      </c>
      <c r="R51" s="12">
        <f t="shared" si="2"/>
        <v>6.9048231994121842E-2</v>
      </c>
      <c r="S51" s="12">
        <f t="shared" si="3"/>
        <v>-8.0583310539385257E-3</v>
      </c>
      <c r="T51" s="12">
        <f t="shared" si="4"/>
        <v>0.59320311284881444</v>
      </c>
      <c r="U51" s="13">
        <f t="shared" si="5"/>
        <v>24.718145339787803</v>
      </c>
      <c r="V51" s="13">
        <f t="shared" si="6"/>
        <v>694.58932462265636</v>
      </c>
      <c r="W51" s="12">
        <f t="shared" si="7"/>
        <v>4.0844058903217566E-3</v>
      </c>
      <c r="X51" s="12">
        <f t="shared" si="8"/>
        <v>0</v>
      </c>
      <c r="Y51" s="13">
        <f t="shared" si="9"/>
        <v>2.497490239821528</v>
      </c>
      <c r="Z51" s="13">
        <f t="shared" si="10"/>
        <v>227.73369717653455</v>
      </c>
      <c r="AA51" s="13">
        <f t="shared" si="11"/>
        <v>82395200</v>
      </c>
    </row>
    <row r="52" spans="1:27" x14ac:dyDescent="0.25">
      <c r="A52" s="10" t="s">
        <v>111</v>
      </c>
      <c r="B52" s="11">
        <v>11220000000</v>
      </c>
      <c r="C52" s="11">
        <v>42195000000</v>
      </c>
      <c r="D52" s="11"/>
      <c r="E52" s="11"/>
      <c r="F52" s="11"/>
      <c r="G52" s="11">
        <v>14324000000</v>
      </c>
      <c r="H52" s="11">
        <v>32598500000</v>
      </c>
      <c r="I52" s="11">
        <v>308894000000</v>
      </c>
      <c r="J52" s="11">
        <v>58750000000</v>
      </c>
      <c r="K52" s="11"/>
      <c r="L52" s="11">
        <v>236576225149.88</v>
      </c>
      <c r="M52" s="11">
        <v>2345000000</v>
      </c>
      <c r="N52" s="11">
        <v>16.36</v>
      </c>
      <c r="O52" s="11">
        <v>686000000</v>
      </c>
      <c r="P52" s="12">
        <f t="shared" si="0"/>
        <v>0.34418761599460096</v>
      </c>
      <c r="Q52" s="12">
        <f t="shared" si="1"/>
        <v>3.6323139976820525E-2</v>
      </c>
      <c r="R52" s="12">
        <f t="shared" si="2"/>
        <v>0.2659082829719161</v>
      </c>
      <c r="S52" s="12">
        <f t="shared" si="3"/>
        <v>0</v>
      </c>
      <c r="T52" s="12">
        <f t="shared" si="4"/>
        <v>0</v>
      </c>
      <c r="U52" s="13" t="str">
        <f t="shared" si="5"/>
        <v/>
      </c>
      <c r="V52" s="13" t="str">
        <f t="shared" si="6"/>
        <v/>
      </c>
      <c r="W52" s="12">
        <f t="shared" si="7"/>
        <v>0.15680607782284328</v>
      </c>
      <c r="X52" s="12">
        <f t="shared" si="8"/>
        <v>0.20900178253119431</v>
      </c>
      <c r="Y52" s="13">
        <f t="shared" si="9"/>
        <v>16.355685131195337</v>
      </c>
      <c r="Z52" s="13">
        <f t="shared" si="10"/>
        <v>21.085225057921569</v>
      </c>
      <c r="AA52" s="13">
        <f t="shared" si="11"/>
        <v>685819070.90464544</v>
      </c>
    </row>
    <row r="53" spans="1:27" x14ac:dyDescent="0.25">
      <c r="A53" s="10" t="s">
        <v>112</v>
      </c>
      <c r="B53" s="11">
        <v>2478124000</v>
      </c>
      <c r="C53" s="11">
        <v>19986403000</v>
      </c>
      <c r="D53" s="11">
        <v>10343739000</v>
      </c>
      <c r="E53" s="11">
        <v>3602447000</v>
      </c>
      <c r="F53" s="11">
        <v>4263985000</v>
      </c>
      <c r="G53" s="11">
        <v>1633222000</v>
      </c>
      <c r="H53" s="11">
        <v>-3379478500</v>
      </c>
      <c r="I53" s="11">
        <v>20916463000</v>
      </c>
      <c r="J53" s="11">
        <v>9016477000</v>
      </c>
      <c r="K53" s="11"/>
      <c r="L53" s="11">
        <v>49145683684.75</v>
      </c>
      <c r="M53" s="11"/>
      <c r="N53" s="11">
        <v>146</v>
      </c>
      <c r="O53" s="11">
        <v>16974000</v>
      </c>
      <c r="P53" s="12">
        <f t="shared" si="0"/>
        <v>-0.73328591970625057</v>
      </c>
      <c r="Q53" s="12">
        <f t="shared" si="1"/>
        <v>0.11847720142741151</v>
      </c>
      <c r="R53" s="12">
        <f t="shared" si="2"/>
        <v>0.12399049493798359</v>
      </c>
      <c r="S53" s="12">
        <f t="shared" si="3"/>
        <v>0.18024488948811851</v>
      </c>
      <c r="T53" s="12">
        <f t="shared" si="4"/>
        <v>0.51753879875233177</v>
      </c>
      <c r="U53" s="13">
        <f t="shared" si="5"/>
        <v>2.114565834542101</v>
      </c>
      <c r="V53" s="13">
        <f t="shared" si="6"/>
        <v>13.64032957075365</v>
      </c>
      <c r="W53" s="12">
        <f t="shared" si="7"/>
        <v>0.28973255891411004</v>
      </c>
      <c r="X53" s="12">
        <f t="shared" si="8"/>
        <v>0</v>
      </c>
      <c r="Y53" s="13">
        <f t="shared" si="9"/>
        <v>145.99528690939084</v>
      </c>
      <c r="Z53" s="13">
        <f t="shared" si="10"/>
        <v>19.831809741865218</v>
      </c>
      <c r="AA53" s="13">
        <f t="shared" si="11"/>
        <v>16973452.05479452</v>
      </c>
    </row>
    <row r="54" spans="1:27" x14ac:dyDescent="0.25">
      <c r="A54" s="10" t="s">
        <v>113</v>
      </c>
      <c r="B54" s="11">
        <v>2268000000</v>
      </c>
      <c r="C54" s="11">
        <v>92184000000</v>
      </c>
      <c r="D54" s="11">
        <v>4418000000</v>
      </c>
      <c r="E54" s="11">
        <v>4268000000</v>
      </c>
      <c r="F54" s="11">
        <v>6328000000</v>
      </c>
      <c r="G54" s="11">
        <v>-1041000000</v>
      </c>
      <c r="H54" s="11">
        <v>1331000000</v>
      </c>
      <c r="I54" s="11">
        <v>164787000000</v>
      </c>
      <c r="J54" s="11">
        <v>46962000000</v>
      </c>
      <c r="K54" s="11"/>
      <c r="L54" s="11">
        <v>175878133550.54999</v>
      </c>
      <c r="M54" s="11">
        <v>1158000000</v>
      </c>
      <c r="N54" s="11">
        <v>2.88</v>
      </c>
      <c r="O54" s="11">
        <v>788000000</v>
      </c>
      <c r="P54" s="12">
        <f t="shared" si="0"/>
        <v>1.7039819684447783</v>
      </c>
      <c r="Q54" s="12">
        <f t="shared" si="1"/>
        <v>1.3763221613355423E-2</v>
      </c>
      <c r="R54" s="12">
        <f t="shared" si="2"/>
        <v>2.4602967977089298E-2</v>
      </c>
      <c r="S54" s="12">
        <f t="shared" si="3"/>
        <v>4.629870693395817E-2</v>
      </c>
      <c r="T54" s="12">
        <f t="shared" si="4"/>
        <v>4.7925887355723333E-2</v>
      </c>
      <c r="U54" s="13">
        <f t="shared" si="5"/>
        <v>7.4213021491782554</v>
      </c>
      <c r="V54" s="13">
        <f t="shared" si="6"/>
        <v>35.214938930238617</v>
      </c>
      <c r="W54" s="12">
        <f t="shared" si="7"/>
        <v>-2.1555919077298986E-2</v>
      </c>
      <c r="X54" s="12">
        <f t="shared" si="8"/>
        <v>0.51058201058201058</v>
      </c>
      <c r="Y54" s="13">
        <f t="shared" si="9"/>
        <v>2.8781725888324874</v>
      </c>
      <c r="Z54" s="13">
        <f t="shared" si="10"/>
        <v>77.547677932341259</v>
      </c>
      <c r="AA54" s="13">
        <f t="shared" si="11"/>
        <v>787500000</v>
      </c>
    </row>
    <row r="55" spans="1:27" x14ac:dyDescent="0.25">
      <c r="A55" s="10" t="s">
        <v>114</v>
      </c>
      <c r="B55" s="11">
        <v>31697000000</v>
      </c>
      <c r="C55" s="11">
        <v>116003000000</v>
      </c>
      <c r="D55" s="11"/>
      <c r="E55" s="11"/>
      <c r="F55" s="11"/>
      <c r="G55" s="11"/>
      <c r="H55" s="11">
        <v>297308500000</v>
      </c>
      <c r="I55" s="11">
        <v>3496186000000</v>
      </c>
      <c r="J55" s="11">
        <v>325964000000</v>
      </c>
      <c r="K55" s="11"/>
      <c r="L55" s="11">
        <v>420472996071.75</v>
      </c>
      <c r="M55" s="11"/>
      <c r="N55" s="11">
        <v>4.2699999999999996</v>
      </c>
      <c r="O55" s="11">
        <v>7417500000</v>
      </c>
      <c r="P55" s="12">
        <f t="shared" si="0"/>
        <v>0.1066131644403036</v>
      </c>
      <c r="Q55" s="12">
        <f t="shared" si="1"/>
        <v>9.0661652440688217E-3</v>
      </c>
      <c r="R55" s="12">
        <f t="shared" si="2"/>
        <v>0.27324293337241279</v>
      </c>
      <c r="S55" s="12">
        <f t="shared" si="3"/>
        <v>0</v>
      </c>
      <c r="T55" s="12">
        <f t="shared" si="4"/>
        <v>0</v>
      </c>
      <c r="U55" s="13" t="str">
        <f t="shared" si="5"/>
        <v/>
      </c>
      <c r="V55" s="13" t="str">
        <f t="shared" si="6"/>
        <v/>
      </c>
      <c r="W55" s="12">
        <f t="shared" si="7"/>
        <v>0</v>
      </c>
      <c r="X55" s="12">
        <f t="shared" si="8"/>
        <v>0</v>
      </c>
      <c r="Y55" s="13">
        <f t="shared" si="9"/>
        <v>4.273272665992585</v>
      </c>
      <c r="Z55" s="13">
        <f t="shared" si="10"/>
        <v>13.265387767667287</v>
      </c>
      <c r="AA55" s="13">
        <f t="shared" si="11"/>
        <v>7423185011.7096024</v>
      </c>
    </row>
    <row r="56" spans="1:27" x14ac:dyDescent="0.25">
      <c r="A56" s="10" t="s">
        <v>115</v>
      </c>
      <c r="B56" s="11">
        <v>941000000</v>
      </c>
      <c r="C56" s="11"/>
      <c r="D56" s="11"/>
      <c r="E56" s="11"/>
      <c r="F56" s="11">
        <v>1773000000</v>
      </c>
      <c r="G56" s="11">
        <v>596000000</v>
      </c>
      <c r="H56" s="11">
        <v>5550500000</v>
      </c>
      <c r="I56" s="11">
        <v>19770000000</v>
      </c>
      <c r="J56" s="11">
        <v>7680000000</v>
      </c>
      <c r="K56" s="11"/>
      <c r="L56" s="11">
        <v>16241037171</v>
      </c>
      <c r="M56" s="11">
        <v>217000000</v>
      </c>
      <c r="N56" s="11">
        <v>3.52</v>
      </c>
      <c r="O56" s="11">
        <v>267411000</v>
      </c>
      <c r="P56" s="12">
        <f t="shared" si="0"/>
        <v>0.16953427619133413</v>
      </c>
      <c r="Q56" s="12">
        <f t="shared" si="1"/>
        <v>4.7597369752149725E-2</v>
      </c>
      <c r="R56" s="12" t="str">
        <f t="shared" si="2"/>
        <v/>
      </c>
      <c r="S56" s="12" t="str">
        <f t="shared" si="3"/>
        <v/>
      </c>
      <c r="T56" s="12" t="str">
        <f t="shared" si="4"/>
        <v/>
      </c>
      <c r="U56" s="13">
        <f t="shared" si="5"/>
        <v>4.3316412859560067</v>
      </c>
      <c r="V56" s="13">
        <f t="shared" si="6"/>
        <v>13.49184273604061</v>
      </c>
      <c r="W56" s="12">
        <f t="shared" si="7"/>
        <v>4.5047428290691964E-2</v>
      </c>
      <c r="X56" s="12">
        <f t="shared" si="8"/>
        <v>0.23060573857598299</v>
      </c>
      <c r="Y56" s="13">
        <f t="shared" si="9"/>
        <v>3.5189277927983516</v>
      </c>
      <c r="Z56" s="13">
        <f t="shared" si="10"/>
        <v>17.259338120085015</v>
      </c>
      <c r="AA56" s="13">
        <f t="shared" si="11"/>
        <v>267329545.45454544</v>
      </c>
    </row>
    <row r="57" spans="1:27" x14ac:dyDescent="0.25">
      <c r="A57" s="10" t="s">
        <v>116</v>
      </c>
      <c r="B57" s="11">
        <v>-1098000000</v>
      </c>
      <c r="C57" s="11">
        <v>11320000000</v>
      </c>
      <c r="D57" s="11">
        <v>3409000000</v>
      </c>
      <c r="E57" s="11">
        <v>-300000000</v>
      </c>
      <c r="F57" s="11">
        <v>671000000</v>
      </c>
      <c r="G57" s="11">
        <v>738000000</v>
      </c>
      <c r="H57" s="11">
        <v>6562000000</v>
      </c>
      <c r="I57" s="11">
        <v>19846000000</v>
      </c>
      <c r="J57" s="11">
        <v>9438000000</v>
      </c>
      <c r="K57" s="11"/>
      <c r="L57" s="11">
        <v>11599893446.84</v>
      </c>
      <c r="M57" s="11"/>
      <c r="N57" s="11">
        <v>-2.13</v>
      </c>
      <c r="O57" s="11">
        <v>515000000</v>
      </c>
      <c r="P57" s="12">
        <f t="shared" si="0"/>
        <v>-0.16732703444071928</v>
      </c>
      <c r="Q57" s="12">
        <f t="shared" si="1"/>
        <v>-5.5326010279149448E-2</v>
      </c>
      <c r="R57" s="12">
        <f t="shared" si="2"/>
        <v>-9.6996466431095413E-2</v>
      </c>
      <c r="S57" s="12">
        <f t="shared" si="3"/>
        <v>-2.6501766784452298E-2</v>
      </c>
      <c r="T57" s="12">
        <f t="shared" si="4"/>
        <v>0.30114840989399294</v>
      </c>
      <c r="U57" s="13">
        <f t="shared" si="5"/>
        <v>14.065573770491802</v>
      </c>
      <c r="V57" s="13">
        <f t="shared" si="6"/>
        <v>31.353045375320416</v>
      </c>
      <c r="W57" s="12">
        <f t="shared" si="7"/>
        <v>4.6124999999999999E-2</v>
      </c>
      <c r="X57" s="12">
        <f t="shared" si="8"/>
        <v>0</v>
      </c>
      <c r="Y57" s="13">
        <f t="shared" si="9"/>
        <v>-2.1320388349514565</v>
      </c>
      <c r="Z57" s="13">
        <f t="shared" si="10"/>
        <v>-10.564565980728597</v>
      </c>
      <c r="AA57" s="13">
        <f t="shared" si="11"/>
        <v>515492957.74647892</v>
      </c>
    </row>
    <row r="58" spans="1:27" x14ac:dyDescent="0.25">
      <c r="A58" s="10" t="s">
        <v>117</v>
      </c>
      <c r="B58" s="11">
        <v>1143000000</v>
      </c>
      <c r="C58" s="11">
        <v>41691000000</v>
      </c>
      <c r="D58" s="11">
        <v>9426000000</v>
      </c>
      <c r="E58" s="11">
        <v>1540000000</v>
      </c>
      <c r="F58" s="11">
        <v>2354000000</v>
      </c>
      <c r="G58" s="11">
        <v>1605000000</v>
      </c>
      <c r="H58" s="11">
        <v>2923000000</v>
      </c>
      <c r="I58" s="11">
        <v>14890000000</v>
      </c>
      <c r="J58" s="11">
        <v>1165000000</v>
      </c>
      <c r="K58" s="11"/>
      <c r="L58" s="11">
        <v>16859261958.49</v>
      </c>
      <c r="M58" s="11">
        <v>801000000</v>
      </c>
      <c r="N58" s="11">
        <v>5.41</v>
      </c>
      <c r="O58" s="11">
        <v>211300000</v>
      </c>
      <c r="P58" s="12">
        <f t="shared" si="0"/>
        <v>0.39103660622647962</v>
      </c>
      <c r="Q58" s="12">
        <f t="shared" si="1"/>
        <v>7.6762928139691072E-2</v>
      </c>
      <c r="R58" s="12">
        <f t="shared" si="2"/>
        <v>2.7415989062387566E-2</v>
      </c>
      <c r="S58" s="12">
        <f t="shared" si="3"/>
        <v>3.6938427958072485E-2</v>
      </c>
      <c r="T58" s="12">
        <f t="shared" si="4"/>
        <v>0.22609196229402029</v>
      </c>
      <c r="U58" s="13">
        <f t="shared" si="5"/>
        <v>0.49490229396771451</v>
      </c>
      <c r="V58" s="13">
        <f t="shared" si="6"/>
        <v>7.6568657427740012</v>
      </c>
      <c r="W58" s="12">
        <f t="shared" si="7"/>
        <v>0.39261252446183953</v>
      </c>
      <c r="X58" s="12">
        <f t="shared" si="8"/>
        <v>0.70078740157480313</v>
      </c>
      <c r="Y58" s="13">
        <f t="shared" si="9"/>
        <v>5.4093705631803122</v>
      </c>
      <c r="Z58" s="13">
        <f t="shared" si="10"/>
        <v>14.750010462370954</v>
      </c>
      <c r="AA58" s="13">
        <f t="shared" si="11"/>
        <v>211275415.89648798</v>
      </c>
    </row>
    <row r="59" spans="1:27" x14ac:dyDescent="0.25">
      <c r="A59" s="10" t="s">
        <v>118</v>
      </c>
      <c r="B59" s="11">
        <v>1139000000</v>
      </c>
      <c r="C59" s="11">
        <v>20600000000</v>
      </c>
      <c r="D59" s="11">
        <v>7577000000</v>
      </c>
      <c r="E59" s="11">
        <v>2141000000</v>
      </c>
      <c r="F59" s="11">
        <v>4522000000</v>
      </c>
      <c r="G59" s="11">
        <v>2285000000</v>
      </c>
      <c r="H59" s="11">
        <v>24687000000</v>
      </c>
      <c r="I59" s="11">
        <v>50832000000</v>
      </c>
      <c r="J59" s="11">
        <v>14706000000</v>
      </c>
      <c r="K59" s="11"/>
      <c r="L59" s="11">
        <v>41565275094.720001</v>
      </c>
      <c r="M59" s="11">
        <v>1196000000</v>
      </c>
      <c r="N59" s="11">
        <v>4</v>
      </c>
      <c r="O59" s="11">
        <v>284634000</v>
      </c>
      <c r="P59" s="12">
        <f t="shared" si="0"/>
        <v>4.6137643294041401E-2</v>
      </c>
      <c r="Q59" s="12">
        <f t="shared" si="1"/>
        <v>2.2407145105445388E-2</v>
      </c>
      <c r="R59" s="12">
        <f t="shared" si="2"/>
        <v>5.529126213592233E-2</v>
      </c>
      <c r="S59" s="12">
        <f t="shared" si="3"/>
        <v>0.10393203883495146</v>
      </c>
      <c r="T59" s="12">
        <f t="shared" si="4"/>
        <v>0.36781553398058253</v>
      </c>
      <c r="U59" s="13">
        <f t="shared" si="5"/>
        <v>3.2521008403361344</v>
      </c>
      <c r="V59" s="13">
        <f t="shared" si="6"/>
        <v>12.443890998390094</v>
      </c>
      <c r="W59" s="12">
        <f t="shared" si="7"/>
        <v>5.8005229355469243E-2</v>
      </c>
      <c r="X59" s="12">
        <f t="shared" si="8"/>
        <v>1.0500438981562774</v>
      </c>
      <c r="Y59" s="13">
        <f t="shared" si="9"/>
        <v>4.0016301636487563</v>
      </c>
      <c r="Z59" s="13">
        <f t="shared" si="10"/>
        <v>36.492778836453027</v>
      </c>
      <c r="AA59" s="13">
        <f t="shared" si="11"/>
        <v>284750000</v>
      </c>
    </row>
    <row r="60" spans="1:27" x14ac:dyDescent="0.25">
      <c r="A60" s="10" t="s">
        <v>119</v>
      </c>
      <c r="B60" s="11">
        <v>733600000</v>
      </c>
      <c r="C60" s="11">
        <v>9029700000</v>
      </c>
      <c r="D60" s="11"/>
      <c r="E60" s="11">
        <v>843800000</v>
      </c>
      <c r="F60" s="11">
        <v>966600000</v>
      </c>
      <c r="G60" s="11">
        <v>824200000</v>
      </c>
      <c r="H60" s="11">
        <v>12234900000</v>
      </c>
      <c r="I60" s="11">
        <v>34109800000</v>
      </c>
      <c r="J60" s="11">
        <v>2253300000</v>
      </c>
      <c r="K60" s="11"/>
      <c r="L60" s="11">
        <v>17501379774.740002</v>
      </c>
      <c r="M60" s="11">
        <v>690900000</v>
      </c>
      <c r="N60" s="11">
        <v>1.42</v>
      </c>
      <c r="O60" s="11">
        <v>518300000</v>
      </c>
      <c r="P60" s="12">
        <f t="shared" si="0"/>
        <v>5.9959623699417243E-2</v>
      </c>
      <c r="Q60" s="12">
        <f t="shared" si="1"/>
        <v>2.1507015579100435E-2</v>
      </c>
      <c r="R60" s="12">
        <f t="shared" si="2"/>
        <v>8.1243009180814424E-2</v>
      </c>
      <c r="S60" s="12">
        <f t="shared" si="3"/>
        <v>9.3447179862010926E-2</v>
      </c>
      <c r="T60" s="12">
        <f t="shared" si="4"/>
        <v>0</v>
      </c>
      <c r="U60" s="13">
        <f t="shared" si="5"/>
        <v>2.3311607697082559</v>
      </c>
      <c r="V60" s="13">
        <f t="shared" si="6"/>
        <v>20.437285096979103</v>
      </c>
      <c r="W60" s="12">
        <f t="shared" si="7"/>
        <v>5.6887674107204481E-2</v>
      </c>
      <c r="X60" s="12">
        <f t="shared" si="8"/>
        <v>0.94179389312977102</v>
      </c>
      <c r="Y60" s="13">
        <f t="shared" si="9"/>
        <v>1.415396488520162</v>
      </c>
      <c r="Z60" s="13">
        <f t="shared" si="10"/>
        <v>23.856842659133044</v>
      </c>
      <c r="AA60" s="13">
        <f t="shared" si="11"/>
        <v>516619718.30985916</v>
      </c>
    </row>
    <row r="61" spans="1:27" x14ac:dyDescent="0.25">
      <c r="A61" s="10" t="s">
        <v>120</v>
      </c>
      <c r="B61" s="11">
        <v>715000000</v>
      </c>
      <c r="C61" s="11">
        <v>3928000000</v>
      </c>
      <c r="D61" s="11">
        <v>2378000000</v>
      </c>
      <c r="E61" s="11">
        <v>1001000000</v>
      </c>
      <c r="F61" s="11">
        <v>1093000000</v>
      </c>
      <c r="G61" s="11">
        <v>893000000</v>
      </c>
      <c r="H61" s="11">
        <v>4006500000</v>
      </c>
      <c r="I61" s="11">
        <v>7894000000</v>
      </c>
      <c r="J61" s="11">
        <v>2434000000</v>
      </c>
      <c r="K61" s="11"/>
      <c r="L61" s="11">
        <v>11788223212.91</v>
      </c>
      <c r="M61" s="11">
        <v>427000000</v>
      </c>
      <c r="N61" s="11">
        <v>1.53</v>
      </c>
      <c r="O61" s="11">
        <v>466733000</v>
      </c>
      <c r="P61" s="12">
        <f t="shared" si="0"/>
        <v>0.1784600024959441</v>
      </c>
      <c r="Q61" s="12">
        <f t="shared" si="1"/>
        <v>9.0575120344565496E-2</v>
      </c>
      <c r="R61" s="12">
        <f t="shared" si="2"/>
        <v>0.18202647657841139</v>
      </c>
      <c r="S61" s="12">
        <f t="shared" si="3"/>
        <v>0.25483706720977595</v>
      </c>
      <c r="T61" s="12">
        <f t="shared" si="4"/>
        <v>0.60539714867617112</v>
      </c>
      <c r="U61" s="13">
        <f t="shared" si="5"/>
        <v>2.2268984446477584</v>
      </c>
      <c r="V61" s="13">
        <f t="shared" si="6"/>
        <v>13.012098090494053</v>
      </c>
      <c r="W61" s="12">
        <f t="shared" si="7"/>
        <v>0.13865383122428382</v>
      </c>
      <c r="X61" s="12">
        <f t="shared" si="8"/>
        <v>0.59720279720279723</v>
      </c>
      <c r="Y61" s="13">
        <f t="shared" si="9"/>
        <v>1.5319251049315132</v>
      </c>
      <c r="Z61" s="13">
        <f t="shared" si="10"/>
        <v>16.487025472601399</v>
      </c>
      <c r="AA61" s="13">
        <f t="shared" si="11"/>
        <v>467320261.43790847</v>
      </c>
    </row>
    <row r="62" spans="1:27" x14ac:dyDescent="0.25">
      <c r="A62" s="10" t="s">
        <v>121</v>
      </c>
      <c r="B62" s="11">
        <v>683000000</v>
      </c>
      <c r="C62" s="11">
        <v>80547000000</v>
      </c>
      <c r="D62" s="11">
        <v>3578000000</v>
      </c>
      <c r="E62" s="11"/>
      <c r="F62" s="11"/>
      <c r="G62" s="11">
        <v>-1161000000</v>
      </c>
      <c r="H62" s="11">
        <v>13311500000</v>
      </c>
      <c r="I62" s="11">
        <v>47576000000</v>
      </c>
      <c r="J62" s="11">
        <v>11308000000</v>
      </c>
      <c r="K62" s="11"/>
      <c r="L62" s="11">
        <v>22044338759.189999</v>
      </c>
      <c r="M62" s="11">
        <v>504000000</v>
      </c>
      <c r="N62" s="11">
        <v>3.49</v>
      </c>
      <c r="O62" s="11">
        <v>195733665</v>
      </c>
      <c r="P62" s="12">
        <f t="shared" si="0"/>
        <v>5.1309018517822935E-2</v>
      </c>
      <c r="Q62" s="12">
        <f t="shared" si="1"/>
        <v>1.4355977803934756E-2</v>
      </c>
      <c r="R62" s="12">
        <f t="shared" si="2"/>
        <v>8.4795212732938531E-3</v>
      </c>
      <c r="S62" s="12">
        <f t="shared" si="3"/>
        <v>0</v>
      </c>
      <c r="T62" s="12">
        <f t="shared" si="4"/>
        <v>4.4421269569319778E-2</v>
      </c>
      <c r="U62" s="13" t="str">
        <f t="shared" si="5"/>
        <v/>
      </c>
      <c r="V62" s="13" t="str">
        <f t="shared" si="6"/>
        <v/>
      </c>
      <c r="W62" s="12">
        <f t="shared" si="7"/>
        <v>-4.7157740815207461E-2</v>
      </c>
      <c r="X62" s="12">
        <f t="shared" si="8"/>
        <v>0.73792093704245976</v>
      </c>
      <c r="Y62" s="13">
        <f t="shared" si="9"/>
        <v>3.4894355041070733</v>
      </c>
      <c r="Z62" s="13">
        <f t="shared" si="10"/>
        <v>32.275752209648608</v>
      </c>
      <c r="AA62" s="13">
        <f t="shared" si="11"/>
        <v>195702005.73065901</v>
      </c>
    </row>
    <row r="63" spans="1:27" x14ac:dyDescent="0.25">
      <c r="A63" s="10" t="s">
        <v>122</v>
      </c>
      <c r="B63" s="11">
        <v>1371900000</v>
      </c>
      <c r="C63" s="11">
        <v>9937400000</v>
      </c>
      <c r="D63" s="11">
        <v>11639400000</v>
      </c>
      <c r="E63" s="11">
        <v>2477500000</v>
      </c>
      <c r="F63" s="11">
        <v>3278600000</v>
      </c>
      <c r="G63" s="11">
        <v>2422900000</v>
      </c>
      <c r="H63" s="11">
        <v>14098650000</v>
      </c>
      <c r="I63" s="11">
        <v>29483100000</v>
      </c>
      <c r="J63" s="11">
        <v>6288500000</v>
      </c>
      <c r="K63" s="11"/>
      <c r="L63" s="11">
        <v>29366499483.130001</v>
      </c>
      <c r="M63" s="11"/>
      <c r="N63" s="11">
        <v>9.24</v>
      </c>
      <c r="O63" s="11">
        <v>148400000</v>
      </c>
      <c r="P63" s="12">
        <f t="shared" si="0"/>
        <v>9.730718898617953E-2</v>
      </c>
      <c r="Q63" s="12">
        <f t="shared" si="1"/>
        <v>4.653174191316381E-2</v>
      </c>
      <c r="R63" s="12">
        <f t="shared" si="2"/>
        <v>0.13805421941352869</v>
      </c>
      <c r="S63" s="12">
        <f t="shared" si="3"/>
        <v>0.24931068488739511</v>
      </c>
      <c r="T63" s="12">
        <f t="shared" si="4"/>
        <v>1.1712721637450441</v>
      </c>
      <c r="U63" s="13">
        <f t="shared" si="5"/>
        <v>1.9180442871957544</v>
      </c>
      <c r="V63" s="13">
        <f t="shared" si="6"/>
        <v>10.87506846920332</v>
      </c>
      <c r="W63" s="12">
        <f t="shared" si="7"/>
        <v>0.11884446820668902</v>
      </c>
      <c r="X63" s="12">
        <f t="shared" si="8"/>
        <v>0</v>
      </c>
      <c r="Y63" s="13">
        <f t="shared" si="9"/>
        <v>9.2446091644204849</v>
      </c>
      <c r="Z63" s="13">
        <f t="shared" si="10"/>
        <v>21.405714325482908</v>
      </c>
      <c r="AA63" s="13">
        <f t="shared" si="11"/>
        <v>148474025.97402596</v>
      </c>
    </row>
    <row r="64" spans="1:27" x14ac:dyDescent="0.25">
      <c r="A64" s="10" t="s">
        <v>123</v>
      </c>
      <c r="B64" s="11"/>
      <c r="C64" s="11">
        <v>27687000000</v>
      </c>
      <c r="D64" s="11"/>
      <c r="E64" s="11">
        <v>9034000000</v>
      </c>
      <c r="F64" s="11">
        <v>9634000000</v>
      </c>
      <c r="G64" s="11">
        <v>9033000000</v>
      </c>
      <c r="H64" s="11">
        <v>-7418000000</v>
      </c>
      <c r="I64" s="11">
        <v>27720000000</v>
      </c>
      <c r="J64" s="11">
        <v>18736000000</v>
      </c>
      <c r="K64" s="11"/>
      <c r="L64" s="11">
        <v>136006666397.36</v>
      </c>
      <c r="M64" s="11"/>
      <c r="N64" s="11"/>
      <c r="O64" s="11"/>
      <c r="P64" s="12">
        <f t="shared" si="0"/>
        <v>0</v>
      </c>
      <c r="Q64" s="12">
        <f t="shared" si="1"/>
        <v>0</v>
      </c>
      <c r="R64" s="12">
        <f t="shared" si="2"/>
        <v>0</v>
      </c>
      <c r="S64" s="12">
        <f t="shared" si="3"/>
        <v>0.32629031675515585</v>
      </c>
      <c r="T64" s="12">
        <f t="shared" si="4"/>
        <v>0</v>
      </c>
      <c r="U64" s="13">
        <f t="shared" si="5"/>
        <v>1.9447789080340461</v>
      </c>
      <c r="V64" s="13">
        <f t="shared" si="6"/>
        <v>16.062141000348763</v>
      </c>
      <c r="W64" s="12">
        <f t="shared" si="7"/>
        <v>0.79810920657359963</v>
      </c>
      <c r="X64" s="12" t="str">
        <f t="shared" si="8"/>
        <v/>
      </c>
      <c r="Y64" s="13" t="str">
        <f t="shared" si="9"/>
        <v/>
      </c>
      <c r="Z64" s="13" t="str">
        <f t="shared" si="10"/>
        <v/>
      </c>
      <c r="AA64" s="13" t="str">
        <f t="shared" si="11"/>
        <v/>
      </c>
    </row>
    <row r="65" spans="1:27" x14ac:dyDescent="0.25">
      <c r="A65" s="10" t="s">
        <v>124</v>
      </c>
      <c r="B65" s="11">
        <v>3116000000</v>
      </c>
      <c r="C65" s="11">
        <v>27893000000</v>
      </c>
      <c r="D65" s="11"/>
      <c r="E65" s="11">
        <v>3081000000</v>
      </c>
      <c r="F65" s="11">
        <v>4338000000</v>
      </c>
      <c r="G65" s="11">
        <v>2292000000</v>
      </c>
      <c r="H65" s="11">
        <v>18178000000</v>
      </c>
      <c r="I65" s="11">
        <v>50896000000</v>
      </c>
      <c r="J65" s="11"/>
      <c r="K65" s="11"/>
      <c r="L65" s="11">
        <v>56746330225.290001</v>
      </c>
      <c r="M65" s="11">
        <v>909000000</v>
      </c>
      <c r="N65" s="11">
        <v>4.03</v>
      </c>
      <c r="O65" s="11">
        <v>773000000</v>
      </c>
      <c r="P65" s="12">
        <f t="shared" si="0"/>
        <v>0.17141599735944549</v>
      </c>
      <c r="Q65" s="12">
        <f t="shared" si="1"/>
        <v>6.122288588494184E-2</v>
      </c>
      <c r="R65" s="12">
        <f t="shared" si="2"/>
        <v>0.11171261606854767</v>
      </c>
      <c r="S65" s="12">
        <f t="shared" si="3"/>
        <v>0.11045782095866347</v>
      </c>
      <c r="T65" s="12">
        <f t="shared" si="4"/>
        <v>0</v>
      </c>
      <c r="U65" s="13">
        <f t="shared" si="5"/>
        <v>0</v>
      </c>
      <c r="V65" s="13">
        <f t="shared" si="6"/>
        <v>13.081219507904564</v>
      </c>
      <c r="W65" s="12">
        <f t="shared" si="7"/>
        <v>0.12608647816041368</v>
      </c>
      <c r="X65" s="12">
        <f t="shared" si="8"/>
        <v>0.29172015404364571</v>
      </c>
      <c r="Y65" s="13">
        <f t="shared" si="9"/>
        <v>4.0310478654592501</v>
      </c>
      <c r="Z65" s="13">
        <f t="shared" si="10"/>
        <v>18.211274141620667</v>
      </c>
      <c r="AA65" s="13">
        <f t="shared" si="11"/>
        <v>773200992.55583119</v>
      </c>
    </row>
    <row r="66" spans="1:27" x14ac:dyDescent="0.25">
      <c r="A66" s="10" t="s">
        <v>125</v>
      </c>
      <c r="B66" s="11">
        <v>291481000</v>
      </c>
      <c r="C66" s="11">
        <v>14820219000</v>
      </c>
      <c r="D66" s="11">
        <v>4429502000</v>
      </c>
      <c r="E66" s="11">
        <v>618351000</v>
      </c>
      <c r="F66" s="11">
        <v>1213112000</v>
      </c>
      <c r="G66" s="11">
        <v>861639000</v>
      </c>
      <c r="H66" s="11">
        <v>4189190000</v>
      </c>
      <c r="I66" s="11">
        <v>11303094000</v>
      </c>
      <c r="J66" s="11"/>
      <c r="K66" s="11"/>
      <c r="L66" s="11">
        <v>8017513255.5100002</v>
      </c>
      <c r="M66" s="11"/>
      <c r="N66" s="11">
        <v>2.65</v>
      </c>
      <c r="O66" s="11">
        <v>109870000</v>
      </c>
      <c r="P66" s="12">
        <f t="shared" si="0"/>
        <v>6.9579322016905421E-2</v>
      </c>
      <c r="Q66" s="12">
        <f t="shared" si="1"/>
        <v>2.5787717946962132E-2</v>
      </c>
      <c r="R66" s="12">
        <f t="shared" si="2"/>
        <v>1.9667793033287834E-2</v>
      </c>
      <c r="S66" s="12">
        <f t="shared" si="3"/>
        <v>4.1723472507390072E-2</v>
      </c>
      <c r="T66" s="12">
        <f t="shared" si="4"/>
        <v>0.29888235794626244</v>
      </c>
      <c r="U66" s="13">
        <f t="shared" si="5"/>
        <v>0</v>
      </c>
      <c r="V66" s="13">
        <f t="shared" si="6"/>
        <v>6.6090462014307008</v>
      </c>
      <c r="W66" s="12">
        <f t="shared" si="7"/>
        <v>0.20568152793260749</v>
      </c>
      <c r="X66" s="12">
        <f t="shared" si="8"/>
        <v>0</v>
      </c>
      <c r="Y66" s="13">
        <f t="shared" si="9"/>
        <v>2.6529625921543643</v>
      </c>
      <c r="Z66" s="13">
        <f t="shared" si="10"/>
        <v>27.506126490268663</v>
      </c>
      <c r="AA66" s="13">
        <f t="shared" si="11"/>
        <v>109992830.18867925</v>
      </c>
    </row>
    <row r="67" spans="1:27" x14ac:dyDescent="0.25">
      <c r="A67" s="10" t="s">
        <v>126</v>
      </c>
      <c r="B67" s="11">
        <v>6255000000</v>
      </c>
      <c r="C67" s="11">
        <v>12794000000</v>
      </c>
      <c r="D67" s="11"/>
      <c r="E67" s="11">
        <v>8161000000</v>
      </c>
      <c r="F67" s="11">
        <v>8458000000</v>
      </c>
      <c r="G67" s="11">
        <v>3672000000</v>
      </c>
      <c r="H67" s="11">
        <v>52362000000</v>
      </c>
      <c r="I67" s="11">
        <v>170237000000</v>
      </c>
      <c r="J67" s="11">
        <v>12749000000</v>
      </c>
      <c r="K67" s="11"/>
      <c r="L67" s="11">
        <v>158045697120.29999</v>
      </c>
      <c r="M67" s="11">
        <v>3194000000</v>
      </c>
      <c r="N67" s="11">
        <v>37.909999999999997</v>
      </c>
      <c r="O67" s="11">
        <v>165001107</v>
      </c>
      <c r="P67" s="12">
        <f t="shared" ref="P67:P130" si="12">IFERROR(B67/H67,"")</f>
        <v>0.11945685802681334</v>
      </c>
      <c r="Q67" s="12">
        <f t="shared" ref="Q67:Q130" si="13">IFERROR(B67/I67,"")</f>
        <v>3.674289373050512E-2</v>
      </c>
      <c r="R67" s="12">
        <f t="shared" ref="R67:R130" si="14">IFERROR(B67/C67,"")</f>
        <v>0.4889010473659528</v>
      </c>
      <c r="S67" s="12">
        <f t="shared" ref="S67:S130" si="15">IFERROR(E67/C67,"")</f>
        <v>0.63787712990464285</v>
      </c>
      <c r="T67" s="12">
        <f t="shared" ref="T67:T130" si="16">IFERROR(D67/C67,"")</f>
        <v>0</v>
      </c>
      <c r="U67" s="13">
        <f t="shared" ref="U67:U130" si="17">IFERROR(J67/F67,"")</f>
        <v>1.5073303381414045</v>
      </c>
      <c r="V67" s="13">
        <f t="shared" ref="V67:V130" si="18">IFERROR((L67+J67-K67)/F67,"")</f>
        <v>20.193272300815796</v>
      </c>
      <c r="W67" s="12">
        <f t="shared" ref="W67:W130" si="19">IFERROR(G67/(J67+H67),"")</f>
        <v>5.6396000675769074E-2</v>
      </c>
      <c r="X67" s="12">
        <f t="shared" ref="X67:X130" si="20">IFERROR(M67/B67,"")</f>
        <v>0.5106314948041567</v>
      </c>
      <c r="Y67" s="13">
        <f t="shared" ref="Y67:Y130" si="21">IFERROR(B67/O67,"")</f>
        <v>37.908836575260068</v>
      </c>
      <c r="Z67" s="13">
        <f t="shared" ref="Z67:Z130" si="22">IFERROR(L67/B67,"")</f>
        <v>25.267097860959229</v>
      </c>
      <c r="AA67" s="13">
        <f t="shared" ref="AA67:AA130" si="23">IFERROR(B67/N67,"")</f>
        <v>164996043.26035348</v>
      </c>
    </row>
    <row r="68" spans="1:27" x14ac:dyDescent="0.25">
      <c r="A68" s="10" t="s">
        <v>127</v>
      </c>
      <c r="B68" s="11">
        <v>7275000000</v>
      </c>
      <c r="C68" s="11">
        <v>48482000000</v>
      </c>
      <c r="D68" s="11">
        <v>30745000000</v>
      </c>
      <c r="E68" s="11"/>
      <c r="F68" s="11"/>
      <c r="G68" s="11">
        <v>11908000000</v>
      </c>
      <c r="H68" s="11">
        <v>18728500000</v>
      </c>
      <c r="I68" s="11">
        <v>86476000000</v>
      </c>
      <c r="J68" s="11">
        <v>44140000000</v>
      </c>
      <c r="K68" s="11"/>
      <c r="L68" s="11">
        <v>118317605246.82001</v>
      </c>
      <c r="M68" s="11">
        <v>5070000000</v>
      </c>
      <c r="N68" s="11">
        <v>3.55</v>
      </c>
      <c r="O68" s="11">
        <v>2047000000</v>
      </c>
      <c r="P68" s="12">
        <f t="shared" si="12"/>
        <v>0.3884454174119657</v>
      </c>
      <c r="Q68" s="12">
        <f t="shared" si="13"/>
        <v>8.4127387945788432E-2</v>
      </c>
      <c r="R68" s="12">
        <f t="shared" si="14"/>
        <v>0.15005569077183284</v>
      </c>
      <c r="S68" s="12">
        <f t="shared" si="15"/>
        <v>0</v>
      </c>
      <c r="T68" s="12">
        <f t="shared" si="16"/>
        <v>0.63415288148178706</v>
      </c>
      <c r="U68" s="13" t="str">
        <f t="shared" si="17"/>
        <v/>
      </c>
      <c r="V68" s="13" t="str">
        <f t="shared" si="18"/>
        <v/>
      </c>
      <c r="W68" s="12">
        <f t="shared" si="19"/>
        <v>0.1894112313797848</v>
      </c>
      <c r="X68" s="12">
        <f t="shared" si="20"/>
        <v>0.69690721649484533</v>
      </c>
      <c r="Y68" s="13">
        <f t="shared" si="21"/>
        <v>3.5539814362481681</v>
      </c>
      <c r="Z68" s="13">
        <f t="shared" si="22"/>
        <v>16.263588350078351</v>
      </c>
      <c r="AA68" s="13">
        <f t="shared" si="23"/>
        <v>2049295774.6478875</v>
      </c>
    </row>
    <row r="69" spans="1:27" x14ac:dyDescent="0.25">
      <c r="A69" s="10" t="s">
        <v>128</v>
      </c>
      <c r="B69" s="11">
        <v>5961000000</v>
      </c>
      <c r="C69" s="11">
        <v>20080000000</v>
      </c>
      <c r="D69" s="11"/>
      <c r="E69" s="11"/>
      <c r="F69" s="11"/>
      <c r="G69" s="11">
        <v>1455000000</v>
      </c>
      <c r="H69" s="11">
        <v>43951000000</v>
      </c>
      <c r="I69" s="11">
        <v>561517000000</v>
      </c>
      <c r="J69" s="11">
        <v>32582000000</v>
      </c>
      <c r="K69" s="11"/>
      <c r="L69" s="11">
        <v>104508069621.31</v>
      </c>
      <c r="M69" s="11">
        <v>1447000000</v>
      </c>
      <c r="N69" s="11">
        <v>8.5399999999999991</v>
      </c>
      <c r="O69" s="11">
        <v>698164000</v>
      </c>
      <c r="P69" s="12">
        <f t="shared" si="12"/>
        <v>0.13562831334895678</v>
      </c>
      <c r="Q69" s="12">
        <f t="shared" si="13"/>
        <v>1.0615885182461083E-2</v>
      </c>
      <c r="R69" s="12">
        <f t="shared" si="14"/>
        <v>0.29686254980079679</v>
      </c>
      <c r="S69" s="12">
        <f t="shared" si="15"/>
        <v>0</v>
      </c>
      <c r="T69" s="12">
        <f t="shared" si="16"/>
        <v>0</v>
      </c>
      <c r="U69" s="13" t="str">
        <f t="shared" si="17"/>
        <v/>
      </c>
      <c r="V69" s="13" t="str">
        <f t="shared" si="18"/>
        <v/>
      </c>
      <c r="W69" s="12">
        <f t="shared" si="19"/>
        <v>1.9011406844106463E-2</v>
      </c>
      <c r="X69" s="12">
        <f t="shared" si="20"/>
        <v>0.24274450595537661</v>
      </c>
      <c r="Y69" s="13">
        <f t="shared" si="21"/>
        <v>8.53810852464464</v>
      </c>
      <c r="Z69" s="13">
        <f t="shared" si="22"/>
        <v>17.531969404682101</v>
      </c>
      <c r="AA69" s="13">
        <f t="shared" si="23"/>
        <v>698009367.68149889</v>
      </c>
    </row>
    <row r="70" spans="1:27" x14ac:dyDescent="0.25">
      <c r="A70" s="10" t="s">
        <v>129</v>
      </c>
      <c r="B70" s="11">
        <v>1100400000</v>
      </c>
      <c r="C70" s="11">
        <v>7322300000</v>
      </c>
      <c r="D70" s="11">
        <v>1422900000</v>
      </c>
      <c r="E70" s="11">
        <v>1253000000</v>
      </c>
      <c r="F70" s="11"/>
      <c r="G70" s="11">
        <v>1317200000</v>
      </c>
      <c r="H70" s="11">
        <v>2600550000</v>
      </c>
      <c r="I70" s="11">
        <v>8779200000</v>
      </c>
      <c r="J70" s="11">
        <v>3227000000</v>
      </c>
      <c r="K70" s="11"/>
      <c r="L70" s="11">
        <v>17038781161.15</v>
      </c>
      <c r="M70" s="11">
        <v>433800000</v>
      </c>
      <c r="N70" s="11">
        <v>9.36</v>
      </c>
      <c r="O70" s="11">
        <v>117600000</v>
      </c>
      <c r="P70" s="12">
        <f t="shared" si="12"/>
        <v>0.4231412585799158</v>
      </c>
      <c r="Q70" s="12">
        <f t="shared" si="13"/>
        <v>0.12534171678512848</v>
      </c>
      <c r="R70" s="12">
        <f t="shared" si="14"/>
        <v>0.15028064952269096</v>
      </c>
      <c r="S70" s="12">
        <f t="shared" si="15"/>
        <v>0.17112109583054505</v>
      </c>
      <c r="T70" s="12">
        <f t="shared" si="16"/>
        <v>0.19432418775521351</v>
      </c>
      <c r="U70" s="13" t="str">
        <f t="shared" si="17"/>
        <v/>
      </c>
      <c r="V70" s="13" t="str">
        <f t="shared" si="18"/>
        <v/>
      </c>
      <c r="W70" s="12">
        <f t="shared" si="19"/>
        <v>0.22602980669406525</v>
      </c>
      <c r="X70" s="12">
        <f t="shared" si="20"/>
        <v>0.39422028353326061</v>
      </c>
      <c r="Y70" s="13">
        <f t="shared" si="21"/>
        <v>9.3571428571428577</v>
      </c>
      <c r="Z70" s="13">
        <f t="shared" si="22"/>
        <v>15.484170448155217</v>
      </c>
      <c r="AA70" s="13">
        <f t="shared" si="23"/>
        <v>117564102.56410258</v>
      </c>
    </row>
    <row r="71" spans="1:27" x14ac:dyDescent="0.25">
      <c r="A71" s="10" t="s">
        <v>130</v>
      </c>
      <c r="B71" s="11">
        <v>72471000000</v>
      </c>
      <c r="C71" s="11">
        <v>375394000000</v>
      </c>
      <c r="D71" s="11"/>
      <c r="E71" s="11"/>
      <c r="F71" s="11"/>
      <c r="G71" s="11">
        <v>23872000000</v>
      </c>
      <c r="H71" s="11">
        <v>690826000000</v>
      </c>
      <c r="I71" s="11">
        <v>1252271000000</v>
      </c>
      <c r="J71" s="11"/>
      <c r="K71" s="11"/>
      <c r="L71" s="11">
        <v>1068613240052.4301</v>
      </c>
      <c r="M71" s="11"/>
      <c r="N71" s="11"/>
      <c r="O71" s="11"/>
      <c r="P71" s="12">
        <f t="shared" si="12"/>
        <v>0.10490485303100926</v>
      </c>
      <c r="Q71" s="12">
        <f t="shared" si="13"/>
        <v>5.7871658770346036E-2</v>
      </c>
      <c r="R71" s="12">
        <f t="shared" si="14"/>
        <v>0.19305316547414184</v>
      </c>
      <c r="S71" s="12">
        <f t="shared" si="15"/>
        <v>0</v>
      </c>
      <c r="T71" s="12">
        <f t="shared" si="16"/>
        <v>0</v>
      </c>
      <c r="U71" s="13" t="str">
        <f t="shared" si="17"/>
        <v/>
      </c>
      <c r="V71" s="13" t="str">
        <f t="shared" si="18"/>
        <v/>
      </c>
      <c r="W71" s="12">
        <f t="shared" si="19"/>
        <v>3.4555734729150321E-2</v>
      </c>
      <c r="X71" s="12">
        <f t="shared" si="20"/>
        <v>0</v>
      </c>
      <c r="Y71" s="13" t="str">
        <f t="shared" si="21"/>
        <v/>
      </c>
      <c r="Z71" s="13">
        <f t="shared" si="22"/>
        <v>14.74539112268949</v>
      </c>
      <c r="AA71" s="13" t="str">
        <f t="shared" si="23"/>
        <v/>
      </c>
    </row>
    <row r="72" spans="1:27" x14ac:dyDescent="0.25">
      <c r="A72" s="10" t="s">
        <v>131</v>
      </c>
      <c r="B72" s="11">
        <v>1149000000</v>
      </c>
      <c r="C72" s="11">
        <v>6399000000</v>
      </c>
      <c r="D72" s="11"/>
      <c r="E72" s="11"/>
      <c r="F72" s="11"/>
      <c r="G72" s="11">
        <v>1427000000</v>
      </c>
      <c r="H72" s="11">
        <v>5092700000</v>
      </c>
      <c r="I72" s="11">
        <v>29700000000</v>
      </c>
      <c r="J72" s="11">
        <v>7822000000</v>
      </c>
      <c r="K72" s="11"/>
      <c r="L72" s="11">
        <v>22994220292.18</v>
      </c>
      <c r="M72" s="11">
        <v>207000000</v>
      </c>
      <c r="N72" s="11">
        <v>3.41</v>
      </c>
      <c r="O72" s="11">
        <v>337000000</v>
      </c>
      <c r="P72" s="12">
        <f t="shared" si="12"/>
        <v>0.22561705971292242</v>
      </c>
      <c r="Q72" s="12">
        <f t="shared" si="13"/>
        <v>3.8686868686868686E-2</v>
      </c>
      <c r="R72" s="12">
        <f t="shared" si="14"/>
        <v>0.17955930614158463</v>
      </c>
      <c r="S72" s="12">
        <f t="shared" si="15"/>
        <v>0</v>
      </c>
      <c r="T72" s="12">
        <f t="shared" si="16"/>
        <v>0</v>
      </c>
      <c r="U72" s="13" t="str">
        <f t="shared" si="17"/>
        <v/>
      </c>
      <c r="V72" s="13" t="str">
        <f t="shared" si="18"/>
        <v/>
      </c>
      <c r="W72" s="12">
        <f t="shared" si="19"/>
        <v>0.11049424299441721</v>
      </c>
      <c r="X72" s="12">
        <f t="shared" si="20"/>
        <v>0.18015665796344649</v>
      </c>
      <c r="Y72" s="13">
        <f t="shared" si="21"/>
        <v>3.4094955489614245</v>
      </c>
      <c r="Z72" s="13">
        <f t="shared" si="22"/>
        <v>20.012376233402961</v>
      </c>
      <c r="AA72" s="13">
        <f t="shared" si="23"/>
        <v>336950146.62756598</v>
      </c>
    </row>
    <row r="73" spans="1:27" x14ac:dyDescent="0.25">
      <c r="A73" s="10" t="s">
        <v>132</v>
      </c>
      <c r="B73" s="11">
        <v>3559000000</v>
      </c>
      <c r="C73" s="11">
        <v>20614000000</v>
      </c>
      <c r="D73" s="11">
        <v>14258000000</v>
      </c>
      <c r="E73" s="11">
        <v>3793000000</v>
      </c>
      <c r="F73" s="11">
        <v>5187000000</v>
      </c>
      <c r="G73" s="11">
        <v>3475000000</v>
      </c>
      <c r="H73" s="11">
        <v>24038000000</v>
      </c>
      <c r="I73" s="11">
        <v>44351000000</v>
      </c>
      <c r="J73" s="11"/>
      <c r="K73" s="11"/>
      <c r="L73" s="11">
        <v>66871121998.010002</v>
      </c>
      <c r="M73" s="11">
        <v>0</v>
      </c>
      <c r="N73" s="11">
        <v>2.38</v>
      </c>
      <c r="O73" s="11">
        <v>1495000000</v>
      </c>
      <c r="P73" s="12">
        <f t="shared" si="12"/>
        <v>0.14805724269905982</v>
      </c>
      <c r="Q73" s="12">
        <f t="shared" si="13"/>
        <v>8.0246217672656758E-2</v>
      </c>
      <c r="R73" s="12">
        <f t="shared" si="14"/>
        <v>0.17264965557388182</v>
      </c>
      <c r="S73" s="12">
        <f t="shared" si="15"/>
        <v>0.18400116425730087</v>
      </c>
      <c r="T73" s="12">
        <f t="shared" si="16"/>
        <v>0.6916658581546522</v>
      </c>
      <c r="U73" s="13">
        <f t="shared" si="17"/>
        <v>0</v>
      </c>
      <c r="V73" s="13">
        <f t="shared" si="18"/>
        <v>12.892061306730287</v>
      </c>
      <c r="W73" s="12">
        <f t="shared" si="19"/>
        <v>0.14456277560529163</v>
      </c>
      <c r="X73" s="12">
        <f t="shared" si="20"/>
        <v>0</v>
      </c>
      <c r="Y73" s="13">
        <f t="shared" si="21"/>
        <v>2.3806020066889633</v>
      </c>
      <c r="Z73" s="13">
        <f t="shared" si="22"/>
        <v>18.789300926667604</v>
      </c>
      <c r="AA73" s="13">
        <f t="shared" si="23"/>
        <v>1495378151.2605042</v>
      </c>
    </row>
    <row r="74" spans="1:27" x14ac:dyDescent="0.25">
      <c r="A74" s="10" t="s">
        <v>133</v>
      </c>
      <c r="B74" s="11">
        <v>3054091000</v>
      </c>
      <c r="C74" s="11">
        <v>14778402000</v>
      </c>
      <c r="D74" s="11"/>
      <c r="E74" s="11"/>
      <c r="F74" s="11"/>
      <c r="G74" s="11">
        <v>4425155000</v>
      </c>
      <c r="H74" s="11">
        <v>8174445000</v>
      </c>
      <c r="I74" s="11">
        <v>48326982000</v>
      </c>
      <c r="J74" s="11">
        <v>13408505000</v>
      </c>
      <c r="K74" s="11"/>
      <c r="L74" s="11">
        <v>149299304065.67001</v>
      </c>
      <c r="M74" s="11">
        <v>6072776000</v>
      </c>
      <c r="N74" s="11">
        <v>3.88</v>
      </c>
      <c r="O74" s="11">
        <v>786296310</v>
      </c>
      <c r="P74" s="12">
        <f t="shared" si="12"/>
        <v>0.37361447780246854</v>
      </c>
      <c r="Q74" s="12">
        <f t="shared" si="13"/>
        <v>6.3196394097193992E-2</v>
      </c>
      <c r="R74" s="12">
        <f t="shared" si="14"/>
        <v>0.20665908262611885</v>
      </c>
      <c r="S74" s="12">
        <f t="shared" si="15"/>
        <v>0</v>
      </c>
      <c r="T74" s="12">
        <f t="shared" si="16"/>
        <v>0</v>
      </c>
      <c r="U74" s="13" t="str">
        <f t="shared" si="17"/>
        <v/>
      </c>
      <c r="V74" s="13" t="str">
        <f t="shared" si="18"/>
        <v/>
      </c>
      <c r="W74" s="12">
        <f t="shared" si="19"/>
        <v>0.2050301279482184</v>
      </c>
      <c r="X74" s="12">
        <f t="shared" si="20"/>
        <v>1.9884070251999695</v>
      </c>
      <c r="Y74" s="13">
        <f t="shared" si="21"/>
        <v>3.8841476949065168</v>
      </c>
      <c r="Z74" s="13">
        <f t="shared" si="22"/>
        <v>48.885021456685479</v>
      </c>
      <c r="AA74" s="13">
        <f t="shared" si="23"/>
        <v>787136855.67010307</v>
      </c>
    </row>
    <row r="75" spans="1:27" x14ac:dyDescent="0.25">
      <c r="A75" s="10" t="s">
        <v>134</v>
      </c>
      <c r="B75" s="11">
        <v>317199000</v>
      </c>
      <c r="C75" s="11">
        <v>3489212000</v>
      </c>
      <c r="D75" s="11">
        <v>2052858000</v>
      </c>
      <c r="E75" s="11"/>
      <c r="F75" s="11"/>
      <c r="G75" s="11"/>
      <c r="H75" s="11">
        <v>5236027500</v>
      </c>
      <c r="I75" s="11">
        <v>25102250000</v>
      </c>
      <c r="J75" s="11">
        <v>3300000000</v>
      </c>
      <c r="K75" s="11"/>
      <c r="L75" s="11">
        <v>10673821828.299999</v>
      </c>
      <c r="M75" s="11">
        <v>594078000</v>
      </c>
      <c r="N75" s="11">
        <v>1.99</v>
      </c>
      <c r="O75" s="11">
        <v>159056000</v>
      </c>
      <c r="P75" s="12">
        <f t="shared" si="12"/>
        <v>6.058008671650407E-2</v>
      </c>
      <c r="Q75" s="12">
        <f t="shared" si="13"/>
        <v>1.263627762451573E-2</v>
      </c>
      <c r="R75" s="12">
        <f t="shared" si="14"/>
        <v>9.0908491659434848E-2</v>
      </c>
      <c r="S75" s="12">
        <f t="shared" si="15"/>
        <v>0</v>
      </c>
      <c r="T75" s="12">
        <f t="shared" si="16"/>
        <v>0.58834430238116797</v>
      </c>
      <c r="U75" s="13" t="str">
        <f t="shared" si="17"/>
        <v/>
      </c>
      <c r="V75" s="13" t="str">
        <f t="shared" si="18"/>
        <v/>
      </c>
      <c r="W75" s="12">
        <f t="shared" si="19"/>
        <v>0</v>
      </c>
      <c r="X75" s="12">
        <f t="shared" si="20"/>
        <v>1.8728873672363406</v>
      </c>
      <c r="Y75" s="13">
        <f t="shared" si="21"/>
        <v>1.9942598833115381</v>
      </c>
      <c r="Z75" s="13">
        <f t="shared" si="22"/>
        <v>33.65023795251561</v>
      </c>
      <c r="AA75" s="13">
        <f t="shared" si="23"/>
        <v>159396482.41206029</v>
      </c>
    </row>
    <row r="76" spans="1:27" x14ac:dyDescent="0.25">
      <c r="A76" s="10" t="s">
        <v>135</v>
      </c>
      <c r="B76" s="11">
        <v>14306000000</v>
      </c>
      <c r="C76" s="11">
        <v>85225000000</v>
      </c>
      <c r="D76" s="11"/>
      <c r="E76" s="11"/>
      <c r="F76" s="11"/>
      <c r="G76" s="11">
        <v>-74152000000</v>
      </c>
      <c r="H76" s="11">
        <v>210444500000</v>
      </c>
      <c r="I76" s="11">
        <v>2657202000000</v>
      </c>
      <c r="J76" s="11">
        <v>315827000000</v>
      </c>
      <c r="K76" s="11"/>
      <c r="L76" s="11">
        <v>238047388101.37</v>
      </c>
      <c r="M76" s="11">
        <v>5372000000</v>
      </c>
      <c r="N76" s="11">
        <v>7.64</v>
      </c>
      <c r="O76" s="11">
        <v>1873100000</v>
      </c>
      <c r="P76" s="12">
        <f t="shared" si="12"/>
        <v>6.7979918695903196E-2</v>
      </c>
      <c r="Q76" s="12">
        <f t="shared" si="13"/>
        <v>5.3838586603502485E-3</v>
      </c>
      <c r="R76" s="12">
        <f t="shared" si="14"/>
        <v>0.16786154297447933</v>
      </c>
      <c r="S76" s="12">
        <f t="shared" si="15"/>
        <v>0</v>
      </c>
      <c r="T76" s="12">
        <f t="shared" si="16"/>
        <v>0</v>
      </c>
      <c r="U76" s="13" t="str">
        <f t="shared" si="17"/>
        <v/>
      </c>
      <c r="V76" s="13" t="str">
        <f t="shared" si="18"/>
        <v/>
      </c>
      <c r="W76" s="12">
        <f t="shared" si="19"/>
        <v>-0.14090065679026889</v>
      </c>
      <c r="X76" s="12">
        <f t="shared" si="20"/>
        <v>0.37550678037187196</v>
      </c>
      <c r="Y76" s="13">
        <f t="shared" si="21"/>
        <v>7.6376061075222896</v>
      </c>
      <c r="Z76" s="13">
        <f t="shared" si="22"/>
        <v>16.639688808987138</v>
      </c>
      <c r="AA76" s="13">
        <f t="shared" si="23"/>
        <v>1872513089.0052357</v>
      </c>
    </row>
    <row r="77" spans="1:27" x14ac:dyDescent="0.25">
      <c r="A77" s="10" t="s">
        <v>136</v>
      </c>
      <c r="B77" s="11">
        <v>-43300000</v>
      </c>
      <c r="C77" s="11">
        <v>11181300000</v>
      </c>
      <c r="D77" s="11">
        <v>2701500000</v>
      </c>
      <c r="E77" s="11">
        <v>33200000</v>
      </c>
      <c r="F77" s="11">
        <v>422200000</v>
      </c>
      <c r="G77" s="11">
        <v>842000000</v>
      </c>
      <c r="H77" s="11">
        <v>8686550000</v>
      </c>
      <c r="I77" s="11">
        <v>19212300000</v>
      </c>
      <c r="J77" s="11">
        <v>7230000000</v>
      </c>
      <c r="K77" s="11"/>
      <c r="L77" s="11">
        <v>6396704720.9700003</v>
      </c>
      <c r="M77" s="11"/>
      <c r="N77" s="11">
        <v>-0.09</v>
      </c>
      <c r="O77" s="11">
        <v>478900000</v>
      </c>
      <c r="P77" s="12">
        <f t="shared" si="12"/>
        <v>-4.9847177533082756E-3</v>
      </c>
      <c r="Q77" s="12">
        <f t="shared" si="13"/>
        <v>-2.2537645154406291E-3</v>
      </c>
      <c r="R77" s="12">
        <f t="shared" si="14"/>
        <v>-3.8725371826174057E-3</v>
      </c>
      <c r="S77" s="12">
        <f t="shared" si="15"/>
        <v>2.9692432901362096E-3</v>
      </c>
      <c r="T77" s="12">
        <f t="shared" si="16"/>
        <v>0.24160875747900512</v>
      </c>
      <c r="U77" s="13">
        <f t="shared" si="17"/>
        <v>17.124585504500235</v>
      </c>
      <c r="V77" s="13">
        <f t="shared" si="18"/>
        <v>32.275473048247278</v>
      </c>
      <c r="W77" s="12">
        <f t="shared" si="19"/>
        <v>5.2900911315580321E-2</v>
      </c>
      <c r="X77" s="12">
        <f t="shared" si="20"/>
        <v>0</v>
      </c>
      <c r="Y77" s="13">
        <f t="shared" si="21"/>
        <v>-9.0415535602422215E-2</v>
      </c>
      <c r="Z77" s="13">
        <f t="shared" si="22"/>
        <v>-147.72990117713627</v>
      </c>
      <c r="AA77" s="13">
        <f t="shared" si="23"/>
        <v>481111111.1111111</v>
      </c>
    </row>
    <row r="78" spans="1:27" x14ac:dyDescent="0.25">
      <c r="A78" s="10" t="s">
        <v>137</v>
      </c>
      <c r="B78" s="11">
        <v>1662000000</v>
      </c>
      <c r="C78" s="11">
        <v>244673000000</v>
      </c>
      <c r="D78" s="11">
        <v>9041000000</v>
      </c>
      <c r="E78" s="11">
        <v>2533000000</v>
      </c>
      <c r="F78" s="11">
        <v>3416000000</v>
      </c>
      <c r="G78" s="11">
        <v>5506000000</v>
      </c>
      <c r="H78" s="11">
        <v>-2937500000</v>
      </c>
      <c r="I78" s="11">
        <v>58083000000</v>
      </c>
      <c r="J78" s="11"/>
      <c r="K78" s="11"/>
      <c r="L78" s="11">
        <v>54750303723.989998</v>
      </c>
      <c r="M78" s="11">
        <v>495000000</v>
      </c>
      <c r="N78" s="11">
        <v>6.98</v>
      </c>
      <c r="O78" s="11">
        <v>238000000</v>
      </c>
      <c r="P78" s="12">
        <f t="shared" si="12"/>
        <v>-0.56578723404255316</v>
      </c>
      <c r="Q78" s="12">
        <f t="shared" si="13"/>
        <v>2.8614224471876452E-2</v>
      </c>
      <c r="R78" s="12">
        <f t="shared" si="14"/>
        <v>6.7927396974737713E-3</v>
      </c>
      <c r="S78" s="12">
        <f t="shared" si="15"/>
        <v>1.0352593052768389E-2</v>
      </c>
      <c r="T78" s="12">
        <f t="shared" si="16"/>
        <v>3.6951359569711413E-2</v>
      </c>
      <c r="U78" s="13">
        <f t="shared" si="17"/>
        <v>0</v>
      </c>
      <c r="V78" s="13">
        <f t="shared" si="18"/>
        <v>16.027606476577869</v>
      </c>
      <c r="W78" s="12">
        <f t="shared" si="19"/>
        <v>-1.8743829787234043</v>
      </c>
      <c r="X78" s="12">
        <f t="shared" si="20"/>
        <v>0.29783393501805056</v>
      </c>
      <c r="Y78" s="13">
        <f t="shared" si="21"/>
        <v>6.9831932773109244</v>
      </c>
      <c r="Z78" s="13">
        <f t="shared" si="22"/>
        <v>32.942421013231048</v>
      </c>
      <c r="AA78" s="13">
        <f t="shared" si="23"/>
        <v>238108882.52148995</v>
      </c>
    </row>
    <row r="79" spans="1:27" x14ac:dyDescent="0.25">
      <c r="A79" s="10" t="s">
        <v>138</v>
      </c>
      <c r="B79" s="11">
        <v>1310000000</v>
      </c>
      <c r="C79" s="11">
        <v>21870000000</v>
      </c>
      <c r="D79" s="11"/>
      <c r="E79" s="11">
        <v>1802000000</v>
      </c>
      <c r="F79" s="11">
        <v>3076000000</v>
      </c>
      <c r="G79" s="11">
        <v>1686000000</v>
      </c>
      <c r="H79" s="11"/>
      <c r="I79" s="11">
        <v>37186000000</v>
      </c>
      <c r="J79" s="11">
        <v>10227000000</v>
      </c>
      <c r="K79" s="11"/>
      <c r="L79" s="11">
        <v>56321656455.849998</v>
      </c>
      <c r="M79" s="11">
        <v>775000000</v>
      </c>
      <c r="N79" s="11">
        <v>1.55</v>
      </c>
      <c r="O79" s="11">
        <v>842800000</v>
      </c>
      <c r="P79" s="12" t="str">
        <f t="shared" si="12"/>
        <v/>
      </c>
      <c r="Q79" s="12">
        <f t="shared" si="13"/>
        <v>3.5228311730221049E-2</v>
      </c>
      <c r="R79" s="12">
        <f t="shared" si="14"/>
        <v>5.9899405578417927E-2</v>
      </c>
      <c r="S79" s="12">
        <f t="shared" si="15"/>
        <v>8.2395976223136713E-2</v>
      </c>
      <c r="T79" s="12">
        <f t="shared" si="16"/>
        <v>0</v>
      </c>
      <c r="U79" s="13">
        <f t="shared" si="17"/>
        <v>3.3247724317295186</v>
      </c>
      <c r="V79" s="13">
        <f t="shared" si="18"/>
        <v>21.634803789288036</v>
      </c>
      <c r="W79" s="12">
        <f t="shared" si="19"/>
        <v>0.16485772953945438</v>
      </c>
      <c r="X79" s="12">
        <f t="shared" si="20"/>
        <v>0.59160305343511455</v>
      </c>
      <c r="Y79" s="13">
        <f t="shared" si="21"/>
        <v>1.554342667299478</v>
      </c>
      <c r="Z79" s="13">
        <f t="shared" si="22"/>
        <v>42.99363088232824</v>
      </c>
      <c r="AA79" s="13">
        <f t="shared" si="23"/>
        <v>845161290.32258058</v>
      </c>
    </row>
    <row r="80" spans="1:27" x14ac:dyDescent="0.25">
      <c r="A80" s="10" t="s">
        <v>139</v>
      </c>
      <c r="B80" s="11">
        <v>714448000</v>
      </c>
      <c r="C80" s="11">
        <v>17561101000</v>
      </c>
      <c r="D80" s="11"/>
      <c r="E80" s="11"/>
      <c r="F80" s="11"/>
      <c r="G80" s="11">
        <v>721620000</v>
      </c>
      <c r="H80" s="11">
        <v>3730194500</v>
      </c>
      <c r="I80" s="11">
        <v>8936055000</v>
      </c>
      <c r="J80" s="11">
        <v>2320875000</v>
      </c>
      <c r="K80" s="11"/>
      <c r="L80" s="11">
        <v>30418039308</v>
      </c>
      <c r="M80" s="11">
        <v>83136000</v>
      </c>
      <c r="N80" s="11">
        <v>19.16</v>
      </c>
      <c r="O80" s="11">
        <v>37281653</v>
      </c>
      <c r="P80" s="12">
        <f t="shared" si="12"/>
        <v>0.19153103142476888</v>
      </c>
      <c r="Q80" s="12">
        <f t="shared" si="13"/>
        <v>7.9951164132270894E-2</v>
      </c>
      <c r="R80" s="12">
        <f t="shared" si="14"/>
        <v>4.0683553952568237E-2</v>
      </c>
      <c r="S80" s="12">
        <f t="shared" si="15"/>
        <v>0</v>
      </c>
      <c r="T80" s="12">
        <f t="shared" si="16"/>
        <v>0</v>
      </c>
      <c r="U80" s="13" t="str">
        <f t="shared" si="17"/>
        <v/>
      </c>
      <c r="V80" s="13" t="str">
        <f t="shared" si="18"/>
        <v/>
      </c>
      <c r="W80" s="12">
        <f t="shared" si="19"/>
        <v>0.11925495154203732</v>
      </c>
      <c r="X80" s="12">
        <f t="shared" si="20"/>
        <v>0.11636396210780911</v>
      </c>
      <c r="Y80" s="13">
        <f t="shared" si="21"/>
        <v>19.163527969105875</v>
      </c>
      <c r="Z80" s="13">
        <f t="shared" si="22"/>
        <v>42.575581859001637</v>
      </c>
      <c r="AA80" s="13">
        <f t="shared" si="23"/>
        <v>37288517.745302714</v>
      </c>
    </row>
    <row r="81" spans="1:27" x14ac:dyDescent="0.25">
      <c r="A81" s="10" t="s">
        <v>140</v>
      </c>
      <c r="B81" s="11">
        <v>9427000000</v>
      </c>
      <c r="C81" s="11">
        <v>70755000000</v>
      </c>
      <c r="D81" s="11"/>
      <c r="E81" s="11">
        <v>11657000000</v>
      </c>
      <c r="F81" s="11">
        <v>13974000000</v>
      </c>
      <c r="G81" s="11">
        <v>9481000000</v>
      </c>
      <c r="H81" s="11"/>
      <c r="I81" s="11">
        <v>95550000000</v>
      </c>
      <c r="J81" s="11">
        <v>30696000000</v>
      </c>
      <c r="K81" s="11"/>
      <c r="L81" s="11">
        <v>432214917674.32001</v>
      </c>
      <c r="M81" s="11">
        <v>2778000000</v>
      </c>
      <c r="N81" s="11">
        <v>20.239999999999998</v>
      </c>
      <c r="O81" s="11">
        <v>465800000</v>
      </c>
      <c r="P81" s="12" t="str">
        <f t="shared" si="12"/>
        <v/>
      </c>
      <c r="Q81" s="12">
        <f t="shared" si="13"/>
        <v>9.8660387231815805E-2</v>
      </c>
      <c r="R81" s="12">
        <f t="shared" si="14"/>
        <v>0.13323440039573176</v>
      </c>
      <c r="S81" s="12">
        <f t="shared" si="15"/>
        <v>0.16475160766023603</v>
      </c>
      <c r="T81" s="12">
        <f t="shared" si="16"/>
        <v>0</v>
      </c>
      <c r="U81" s="13">
        <f t="shared" si="17"/>
        <v>2.1966509231429798</v>
      </c>
      <c r="V81" s="13">
        <f t="shared" si="18"/>
        <v>33.126586351389726</v>
      </c>
      <c r="W81" s="12">
        <f t="shared" si="19"/>
        <v>0.3088676048996612</v>
      </c>
      <c r="X81" s="12">
        <f t="shared" si="20"/>
        <v>0.2946854778826774</v>
      </c>
      <c r="Y81" s="13">
        <f t="shared" si="21"/>
        <v>20.238299699441821</v>
      </c>
      <c r="Z81" s="13">
        <f t="shared" si="22"/>
        <v>45.848617553232209</v>
      </c>
      <c r="AA81" s="13">
        <f t="shared" si="23"/>
        <v>465760869.56521744</v>
      </c>
    </row>
    <row r="82" spans="1:27" x14ac:dyDescent="0.25">
      <c r="A82" s="10" t="s">
        <v>141</v>
      </c>
      <c r="B82" s="11">
        <v>11299000000</v>
      </c>
      <c r="C82" s="11">
        <v>60822000000</v>
      </c>
      <c r="D82" s="11"/>
      <c r="E82" s="11"/>
      <c r="F82" s="11"/>
      <c r="G82" s="11"/>
      <c r="H82" s="11">
        <v>69757000000</v>
      </c>
      <c r="I82" s="11">
        <v>275456000000</v>
      </c>
      <c r="J82" s="11">
        <v>15970000000</v>
      </c>
      <c r="K82" s="11"/>
      <c r="L82" s="11">
        <v>134897740132.17999</v>
      </c>
      <c r="M82" s="11">
        <v>1519000000</v>
      </c>
      <c r="N82" s="11">
        <v>28.63</v>
      </c>
      <c r="O82" s="11">
        <v>394599504</v>
      </c>
      <c r="P82" s="12">
        <f t="shared" si="12"/>
        <v>0.16197657582751551</v>
      </c>
      <c r="Q82" s="12">
        <f t="shared" si="13"/>
        <v>4.1019255343866169E-2</v>
      </c>
      <c r="R82" s="12">
        <f t="shared" si="14"/>
        <v>0.18577159580414981</v>
      </c>
      <c r="S82" s="12">
        <f t="shared" si="15"/>
        <v>0</v>
      </c>
      <c r="T82" s="12">
        <f t="shared" si="16"/>
        <v>0</v>
      </c>
      <c r="U82" s="13" t="str">
        <f t="shared" si="17"/>
        <v/>
      </c>
      <c r="V82" s="13" t="str">
        <f t="shared" si="18"/>
        <v/>
      </c>
      <c r="W82" s="12">
        <f t="shared" si="19"/>
        <v>0</v>
      </c>
      <c r="X82" s="12">
        <f t="shared" si="20"/>
        <v>0.13443667581201876</v>
      </c>
      <c r="Y82" s="13">
        <f t="shared" si="21"/>
        <v>28.634095799573029</v>
      </c>
      <c r="Z82" s="13">
        <f t="shared" si="22"/>
        <v>11.938909649719443</v>
      </c>
      <c r="AA82" s="13">
        <f t="shared" si="23"/>
        <v>394655955.29165214</v>
      </c>
    </row>
    <row r="83" spans="1:27" x14ac:dyDescent="0.25">
      <c r="A83" s="10" t="s">
        <v>142</v>
      </c>
      <c r="B83" s="11">
        <v>1235100000</v>
      </c>
      <c r="C83" s="11"/>
      <c r="D83" s="11"/>
      <c r="E83" s="11"/>
      <c r="F83" s="11">
        <v>1740400000</v>
      </c>
      <c r="G83" s="11">
        <v>2724200000</v>
      </c>
      <c r="H83" s="11">
        <v>4912800000</v>
      </c>
      <c r="I83" s="11">
        <v>11070600000</v>
      </c>
      <c r="J83" s="11">
        <v>1443400000</v>
      </c>
      <c r="K83" s="11"/>
      <c r="L83" s="11">
        <v>28031516683.16</v>
      </c>
      <c r="M83" s="11">
        <v>293700000</v>
      </c>
      <c r="N83" s="11">
        <v>11.76</v>
      </c>
      <c r="O83" s="11">
        <v>105000000</v>
      </c>
      <c r="P83" s="12">
        <f t="shared" si="12"/>
        <v>0.25140449438202245</v>
      </c>
      <c r="Q83" s="12">
        <f t="shared" si="13"/>
        <v>0.11156576879301935</v>
      </c>
      <c r="R83" s="12" t="str">
        <f t="shared" si="14"/>
        <v/>
      </c>
      <c r="S83" s="12" t="str">
        <f t="shared" si="15"/>
        <v/>
      </c>
      <c r="T83" s="12" t="str">
        <f t="shared" si="16"/>
        <v/>
      </c>
      <c r="U83" s="13">
        <f t="shared" si="17"/>
        <v>0.8293495748103884</v>
      </c>
      <c r="V83" s="13">
        <f t="shared" si="18"/>
        <v>16.935714021581244</v>
      </c>
      <c r="W83" s="12">
        <f t="shared" si="19"/>
        <v>0.42858940876624396</v>
      </c>
      <c r="X83" s="12">
        <f t="shared" si="20"/>
        <v>0.23779451056594608</v>
      </c>
      <c r="Y83" s="13">
        <f t="shared" si="21"/>
        <v>11.762857142857143</v>
      </c>
      <c r="Z83" s="13">
        <f t="shared" si="22"/>
        <v>22.695746646554934</v>
      </c>
      <c r="AA83" s="13">
        <f t="shared" si="23"/>
        <v>105025510.20408164</v>
      </c>
    </row>
    <row r="84" spans="1:27" x14ac:dyDescent="0.25">
      <c r="A84" s="10" t="s">
        <v>143</v>
      </c>
      <c r="B84" s="11">
        <v>1312000000</v>
      </c>
      <c r="C84" s="11">
        <v>42167000000</v>
      </c>
      <c r="D84" s="11"/>
      <c r="E84" s="11">
        <v>1988000000</v>
      </c>
      <c r="F84" s="11">
        <v>2722000000</v>
      </c>
      <c r="G84" s="11">
        <v>981570000</v>
      </c>
      <c r="H84" s="11">
        <v>8401000000</v>
      </c>
      <c r="I84" s="11">
        <v>30170000000</v>
      </c>
      <c r="J84" s="11">
        <v>5021000000</v>
      </c>
      <c r="K84" s="11"/>
      <c r="L84" s="11">
        <v>41304705918.860001</v>
      </c>
      <c r="M84" s="11"/>
      <c r="N84" s="11">
        <v>4.42</v>
      </c>
      <c r="O84" s="11">
        <v>296987404</v>
      </c>
      <c r="P84" s="12">
        <f t="shared" si="12"/>
        <v>0.15617188429948817</v>
      </c>
      <c r="Q84" s="12">
        <f t="shared" si="13"/>
        <v>4.3486907524030491E-2</v>
      </c>
      <c r="R84" s="12">
        <f t="shared" si="14"/>
        <v>3.1114378542462115E-2</v>
      </c>
      <c r="S84" s="12">
        <f t="shared" si="15"/>
        <v>4.714587236464534E-2</v>
      </c>
      <c r="T84" s="12">
        <f t="shared" si="16"/>
        <v>0</v>
      </c>
      <c r="U84" s="13">
        <f t="shared" si="17"/>
        <v>1.8445995591476856</v>
      </c>
      <c r="V84" s="13">
        <f t="shared" si="18"/>
        <v>17.018995561667893</v>
      </c>
      <c r="W84" s="12">
        <f t="shared" si="19"/>
        <v>7.3131426016987036E-2</v>
      </c>
      <c r="X84" s="12">
        <f t="shared" si="20"/>
        <v>0</v>
      </c>
      <c r="Y84" s="13">
        <f t="shared" si="21"/>
        <v>4.4176957754073634</v>
      </c>
      <c r="Z84" s="13">
        <f t="shared" si="22"/>
        <v>31.482245364984756</v>
      </c>
      <c r="AA84" s="13">
        <f t="shared" si="23"/>
        <v>296832579.18552035</v>
      </c>
    </row>
    <row r="85" spans="1:27" x14ac:dyDescent="0.25">
      <c r="A85" s="10" t="s">
        <v>144</v>
      </c>
      <c r="B85" s="11">
        <v>1059000000</v>
      </c>
      <c r="C85" s="11">
        <v>4213000000</v>
      </c>
      <c r="D85" s="11"/>
      <c r="E85" s="11">
        <v>2019000000</v>
      </c>
      <c r="F85" s="11">
        <v>2507000000</v>
      </c>
      <c r="G85" s="11">
        <v>2726000000</v>
      </c>
      <c r="H85" s="11"/>
      <c r="I85" s="11">
        <v>31391000000</v>
      </c>
      <c r="J85" s="11">
        <v>24337000000</v>
      </c>
      <c r="K85" s="11"/>
      <c r="L85" s="11">
        <v>33467138189.630001</v>
      </c>
      <c r="M85" s="11">
        <v>-2297000000</v>
      </c>
      <c r="N85" s="11">
        <v>2.42</v>
      </c>
      <c r="O85" s="11">
        <v>437000000</v>
      </c>
      <c r="P85" s="12" t="str">
        <f t="shared" si="12"/>
        <v/>
      </c>
      <c r="Q85" s="12">
        <f t="shared" si="13"/>
        <v>3.3735784141951518E-2</v>
      </c>
      <c r="R85" s="12">
        <f t="shared" si="14"/>
        <v>0.25136482316638975</v>
      </c>
      <c r="S85" s="12">
        <f t="shared" si="15"/>
        <v>0.47923095181580821</v>
      </c>
      <c r="T85" s="12">
        <f t="shared" si="16"/>
        <v>0</v>
      </c>
      <c r="U85" s="13">
        <f t="shared" si="17"/>
        <v>9.7076186677303546</v>
      </c>
      <c r="V85" s="13">
        <f t="shared" si="18"/>
        <v>23.057095408707621</v>
      </c>
      <c r="W85" s="12">
        <f t="shared" si="19"/>
        <v>0.112010518962896</v>
      </c>
      <c r="X85" s="12">
        <f t="shared" si="20"/>
        <v>-2.1690273843248349</v>
      </c>
      <c r="Y85" s="13">
        <f t="shared" si="21"/>
        <v>2.4233409610983982</v>
      </c>
      <c r="Z85" s="13">
        <f t="shared" si="22"/>
        <v>31.602585637044381</v>
      </c>
      <c r="AA85" s="13">
        <f t="shared" si="23"/>
        <v>437603305.785124</v>
      </c>
    </row>
    <row r="86" spans="1:27" x14ac:dyDescent="0.25">
      <c r="A86" s="10" t="s">
        <v>145</v>
      </c>
      <c r="B86" s="11">
        <v>3096000000</v>
      </c>
      <c r="C86" s="11">
        <v>26977000000</v>
      </c>
      <c r="D86" s="11"/>
      <c r="E86" s="11">
        <v>4547000000</v>
      </c>
      <c r="F86" s="11">
        <v>7379000000</v>
      </c>
      <c r="G86" s="11">
        <v>2986000000</v>
      </c>
      <c r="H86" s="11">
        <v>11106500000</v>
      </c>
      <c r="I86" s="11">
        <v>51567000000</v>
      </c>
      <c r="J86" s="11">
        <v>26004000000</v>
      </c>
      <c r="K86" s="11"/>
      <c r="L86" s="11">
        <v>36597023519.220001</v>
      </c>
      <c r="M86" s="11">
        <v>0</v>
      </c>
      <c r="N86" s="11">
        <v>2.2200000000000002</v>
      </c>
      <c r="O86" s="11">
        <v>1392000000</v>
      </c>
      <c r="P86" s="12">
        <f t="shared" si="12"/>
        <v>0.27875568360869762</v>
      </c>
      <c r="Q86" s="12">
        <f t="shared" si="13"/>
        <v>6.0038396649019721E-2</v>
      </c>
      <c r="R86" s="12">
        <f t="shared" si="14"/>
        <v>0.11476442895800126</v>
      </c>
      <c r="S86" s="12">
        <f t="shared" si="15"/>
        <v>0.16855098787856321</v>
      </c>
      <c r="T86" s="12">
        <f t="shared" si="16"/>
        <v>0</v>
      </c>
      <c r="U86" s="13">
        <f t="shared" si="17"/>
        <v>3.5240547499661199</v>
      </c>
      <c r="V86" s="13">
        <f t="shared" si="18"/>
        <v>8.483673061284728</v>
      </c>
      <c r="W86" s="12">
        <f t="shared" si="19"/>
        <v>8.0462402823998594E-2</v>
      </c>
      <c r="X86" s="12">
        <f t="shared" si="20"/>
        <v>0</v>
      </c>
      <c r="Y86" s="13">
        <f t="shared" si="21"/>
        <v>2.2241379310344827</v>
      </c>
      <c r="Z86" s="13">
        <f t="shared" si="22"/>
        <v>11.820744030755815</v>
      </c>
      <c r="AA86" s="13">
        <f t="shared" si="23"/>
        <v>1394594594.5945945</v>
      </c>
    </row>
    <row r="87" spans="1:27" x14ac:dyDescent="0.25">
      <c r="A87" s="10" t="s">
        <v>146</v>
      </c>
      <c r="B87" s="11">
        <v>1170969000</v>
      </c>
      <c r="C87" s="11">
        <v>5528613000</v>
      </c>
      <c r="D87" s="11"/>
      <c r="E87" s="11">
        <v>1561851000</v>
      </c>
      <c r="F87" s="11">
        <v>1821385000</v>
      </c>
      <c r="G87" s="11">
        <v>1429912000</v>
      </c>
      <c r="H87" s="11">
        <v>5668860000</v>
      </c>
      <c r="I87" s="11">
        <v>12098354000</v>
      </c>
      <c r="J87" s="11"/>
      <c r="K87" s="11"/>
      <c r="L87" s="11">
        <v>106451188566.89</v>
      </c>
      <c r="M87" s="11"/>
      <c r="N87" s="11">
        <v>4.28</v>
      </c>
      <c r="O87" s="11">
        <v>273725000</v>
      </c>
      <c r="P87" s="12">
        <f t="shared" si="12"/>
        <v>0.20656163673119463</v>
      </c>
      <c r="Q87" s="12">
        <f t="shared" si="13"/>
        <v>9.6787463815325617E-2</v>
      </c>
      <c r="R87" s="12">
        <f t="shared" si="14"/>
        <v>0.21180158567799917</v>
      </c>
      <c r="S87" s="12">
        <f t="shared" si="15"/>
        <v>0.28250322458815619</v>
      </c>
      <c r="T87" s="12">
        <f t="shared" si="16"/>
        <v>0</v>
      </c>
      <c r="U87" s="13">
        <f t="shared" si="17"/>
        <v>0</v>
      </c>
      <c r="V87" s="13">
        <f t="shared" si="18"/>
        <v>58.445187902003148</v>
      </c>
      <c r="W87" s="12">
        <f t="shared" si="19"/>
        <v>0.25223978013216058</v>
      </c>
      <c r="X87" s="12">
        <f t="shared" si="20"/>
        <v>0</v>
      </c>
      <c r="Y87" s="13">
        <f t="shared" si="21"/>
        <v>4.277903004840625</v>
      </c>
      <c r="Z87" s="13">
        <f t="shared" si="22"/>
        <v>90.90863085776823</v>
      </c>
      <c r="AA87" s="13">
        <f t="shared" si="23"/>
        <v>273590887.85046726</v>
      </c>
    </row>
    <row r="88" spans="1:27" x14ac:dyDescent="0.25">
      <c r="A88" s="10" t="s">
        <v>147</v>
      </c>
      <c r="B88" s="11">
        <v>1077100000</v>
      </c>
      <c r="C88" s="11">
        <v>22904800000</v>
      </c>
      <c r="D88" s="11">
        <v>4941100000</v>
      </c>
      <c r="E88" s="11">
        <v>1670200000</v>
      </c>
      <c r="F88" s="11">
        <v>1965800000</v>
      </c>
      <c r="G88" s="11">
        <v>1076200000</v>
      </c>
      <c r="H88" s="11">
        <v>2439250000</v>
      </c>
      <c r="I88" s="11">
        <v>16453400000</v>
      </c>
      <c r="J88" s="11">
        <v>4635100000</v>
      </c>
      <c r="K88" s="11"/>
      <c r="L88" s="11">
        <v>17912312222.43</v>
      </c>
      <c r="M88" s="11">
        <v>326900000</v>
      </c>
      <c r="N88" s="11">
        <v>8.32</v>
      </c>
      <c r="O88" s="11">
        <v>129500000</v>
      </c>
      <c r="P88" s="12">
        <f t="shared" si="12"/>
        <v>0.44157015476068462</v>
      </c>
      <c r="Q88" s="12">
        <f t="shared" si="13"/>
        <v>6.5463673161778119E-2</v>
      </c>
      <c r="R88" s="12">
        <f t="shared" si="14"/>
        <v>4.7025077712968461E-2</v>
      </c>
      <c r="S88" s="12">
        <f t="shared" si="15"/>
        <v>7.2919213439977648E-2</v>
      </c>
      <c r="T88" s="12">
        <f t="shared" si="16"/>
        <v>0.2157233418322797</v>
      </c>
      <c r="U88" s="13">
        <f t="shared" si="17"/>
        <v>2.3578695696408585</v>
      </c>
      <c r="V88" s="13">
        <f t="shared" si="18"/>
        <v>11.469840381742802</v>
      </c>
      <c r="W88" s="12">
        <f t="shared" si="19"/>
        <v>0.15212705054174588</v>
      </c>
      <c r="X88" s="12">
        <f t="shared" si="20"/>
        <v>0.30350013926283537</v>
      </c>
      <c r="Y88" s="13">
        <f t="shared" si="21"/>
        <v>8.3173745173745175</v>
      </c>
      <c r="Z88" s="13">
        <f t="shared" si="22"/>
        <v>16.630129256735678</v>
      </c>
      <c r="AA88" s="13">
        <f t="shared" si="23"/>
        <v>129459134.61538461</v>
      </c>
    </row>
    <row r="89" spans="1:27" x14ac:dyDescent="0.25">
      <c r="A89" s="10" t="s">
        <v>148</v>
      </c>
      <c r="B89" s="11">
        <v>3791000000</v>
      </c>
      <c r="C89" s="11">
        <v>29867000000</v>
      </c>
      <c r="D89" s="11"/>
      <c r="E89" s="11">
        <v>4967000000</v>
      </c>
      <c r="F89" s="11">
        <v>6127000000</v>
      </c>
      <c r="G89" s="11">
        <v>1137000000</v>
      </c>
      <c r="H89" s="11">
        <v>23219500000</v>
      </c>
      <c r="I89" s="11">
        <v>96911000000</v>
      </c>
      <c r="J89" s="11">
        <v>7403000000</v>
      </c>
      <c r="K89" s="11"/>
      <c r="L89" s="11">
        <v>89539761704.199997</v>
      </c>
      <c r="M89" s="11">
        <v>519000000</v>
      </c>
      <c r="N89" s="11">
        <v>10.71</v>
      </c>
      <c r="O89" s="11">
        <v>354000000</v>
      </c>
      <c r="P89" s="12">
        <f t="shared" si="12"/>
        <v>0.16326794289282714</v>
      </c>
      <c r="Q89" s="12">
        <f t="shared" si="13"/>
        <v>3.9118366336122833E-2</v>
      </c>
      <c r="R89" s="12">
        <f t="shared" si="14"/>
        <v>0.12692938694880637</v>
      </c>
      <c r="S89" s="12">
        <f t="shared" si="15"/>
        <v>0.16630394750058594</v>
      </c>
      <c r="T89" s="12">
        <f t="shared" si="16"/>
        <v>0</v>
      </c>
      <c r="U89" s="13">
        <f t="shared" si="17"/>
        <v>1.2082585278276481</v>
      </c>
      <c r="V89" s="13">
        <f t="shared" si="18"/>
        <v>15.822223225754856</v>
      </c>
      <c r="W89" s="12">
        <f t="shared" si="19"/>
        <v>3.7129561596865049E-2</v>
      </c>
      <c r="X89" s="12">
        <f t="shared" si="20"/>
        <v>0.13690319176998153</v>
      </c>
      <c r="Y89" s="13">
        <f t="shared" si="21"/>
        <v>10.709039548022599</v>
      </c>
      <c r="Z89" s="13">
        <f t="shared" si="22"/>
        <v>23.619035005064624</v>
      </c>
      <c r="AA89" s="13">
        <f t="shared" si="23"/>
        <v>353968253.96825391</v>
      </c>
    </row>
    <row r="90" spans="1:27" x14ac:dyDescent="0.25">
      <c r="A90" s="10" t="s">
        <v>149</v>
      </c>
      <c r="B90" s="11">
        <v>2123000000</v>
      </c>
      <c r="C90" s="11">
        <v>7407000000</v>
      </c>
      <c r="D90" s="11">
        <v>2898000000</v>
      </c>
      <c r="E90" s="11">
        <v>2708000000</v>
      </c>
      <c r="F90" s="11">
        <v>3613000000</v>
      </c>
      <c r="G90" s="11">
        <v>1621000000</v>
      </c>
      <c r="H90" s="11">
        <v>5061000000</v>
      </c>
      <c r="I90" s="11">
        <v>14608000000</v>
      </c>
      <c r="J90" s="11">
        <v>3216000000</v>
      </c>
      <c r="K90" s="11"/>
      <c r="L90" s="11">
        <v>17516809305.759998</v>
      </c>
      <c r="M90" s="11">
        <v>318000000</v>
      </c>
      <c r="N90" s="11">
        <v>13.74</v>
      </c>
      <c r="O90" s="11">
        <v>154500000</v>
      </c>
      <c r="P90" s="12">
        <f t="shared" si="12"/>
        <v>0.41948231574787592</v>
      </c>
      <c r="Q90" s="12">
        <f t="shared" si="13"/>
        <v>0.14533132530120482</v>
      </c>
      <c r="R90" s="12">
        <f t="shared" si="14"/>
        <v>0.28662076414202781</v>
      </c>
      <c r="S90" s="12">
        <f t="shared" si="15"/>
        <v>0.36560010800594034</v>
      </c>
      <c r="T90" s="12">
        <f t="shared" si="16"/>
        <v>0.39125151883353587</v>
      </c>
      <c r="U90" s="13">
        <f t="shared" si="17"/>
        <v>0.89011901466924992</v>
      </c>
      <c r="V90" s="13">
        <f t="shared" si="18"/>
        <v>5.738391725923055</v>
      </c>
      <c r="W90" s="12">
        <f t="shared" si="19"/>
        <v>0.19584390479642383</v>
      </c>
      <c r="X90" s="12">
        <f t="shared" si="20"/>
        <v>0.1497880357983985</v>
      </c>
      <c r="Y90" s="13">
        <f t="shared" si="21"/>
        <v>13.741100323624595</v>
      </c>
      <c r="Z90" s="13">
        <f t="shared" si="22"/>
        <v>8.2509699980028248</v>
      </c>
      <c r="AA90" s="13">
        <f t="shared" si="23"/>
        <v>154512372.63464338</v>
      </c>
    </row>
    <row r="91" spans="1:27" x14ac:dyDescent="0.25">
      <c r="A91" s="10" t="s">
        <v>150</v>
      </c>
      <c r="B91" s="11">
        <v>1975000000</v>
      </c>
      <c r="C91" s="11">
        <v>8480000000</v>
      </c>
      <c r="D91" s="11"/>
      <c r="E91" s="11"/>
      <c r="F91" s="11"/>
      <c r="G91" s="11"/>
      <c r="H91" s="11">
        <v>25519000000</v>
      </c>
      <c r="I91" s="11">
        <v>227918000000</v>
      </c>
      <c r="J91" s="11">
        <v>12260000000</v>
      </c>
      <c r="K91" s="11"/>
      <c r="L91" s="11">
        <v>29542532726.23</v>
      </c>
      <c r="M91" s="11">
        <v>767000000</v>
      </c>
      <c r="N91" s="11">
        <v>4.59</v>
      </c>
      <c r="O91" s="11">
        <v>429894837</v>
      </c>
      <c r="P91" s="12">
        <f t="shared" si="12"/>
        <v>7.7393314785062117E-2</v>
      </c>
      <c r="Q91" s="12">
        <f t="shared" si="13"/>
        <v>8.6653972042576716E-3</v>
      </c>
      <c r="R91" s="12">
        <f t="shared" si="14"/>
        <v>0.23290094339622641</v>
      </c>
      <c r="S91" s="12">
        <f t="shared" si="15"/>
        <v>0</v>
      </c>
      <c r="T91" s="12">
        <f t="shared" si="16"/>
        <v>0</v>
      </c>
      <c r="U91" s="13" t="str">
        <f t="shared" si="17"/>
        <v/>
      </c>
      <c r="V91" s="13" t="str">
        <f t="shared" si="18"/>
        <v/>
      </c>
      <c r="W91" s="12">
        <f t="shared" si="19"/>
        <v>0</v>
      </c>
      <c r="X91" s="12">
        <f t="shared" si="20"/>
        <v>0.38835443037974682</v>
      </c>
      <c r="Y91" s="13">
        <f t="shared" si="21"/>
        <v>4.5941468238661356</v>
      </c>
      <c r="Z91" s="13">
        <f t="shared" si="22"/>
        <v>14.958244418344304</v>
      </c>
      <c r="AA91" s="13">
        <f t="shared" si="23"/>
        <v>430283224.40087146</v>
      </c>
    </row>
    <row r="92" spans="1:27" x14ac:dyDescent="0.25">
      <c r="A92" s="10" t="s">
        <v>151</v>
      </c>
      <c r="B92" s="11">
        <v>733000000</v>
      </c>
      <c r="C92" s="11">
        <v>6205400000</v>
      </c>
      <c r="D92" s="11">
        <v>2796600000</v>
      </c>
      <c r="E92" s="11">
        <v>1073300000</v>
      </c>
      <c r="F92" s="11">
        <v>1322700000</v>
      </c>
      <c r="G92" s="11">
        <v>1066700000</v>
      </c>
      <c r="H92" s="11">
        <v>4368500000</v>
      </c>
      <c r="I92" s="11">
        <v>9006500000</v>
      </c>
      <c r="J92" s="11">
        <v>2205700000</v>
      </c>
      <c r="K92" s="11"/>
      <c r="L92" s="11">
        <v>22668393969.48</v>
      </c>
      <c r="M92" s="11">
        <v>287700000</v>
      </c>
      <c r="N92" s="11">
        <v>3.08</v>
      </c>
      <c r="O92" s="11">
        <v>238100000</v>
      </c>
      <c r="P92" s="12">
        <f t="shared" si="12"/>
        <v>0.16779214833466866</v>
      </c>
      <c r="Q92" s="12">
        <f t="shared" si="13"/>
        <v>8.138566590795536E-2</v>
      </c>
      <c r="R92" s="12">
        <f t="shared" si="14"/>
        <v>0.11812292519418571</v>
      </c>
      <c r="S92" s="12">
        <f t="shared" si="15"/>
        <v>0.17296225867792567</v>
      </c>
      <c r="T92" s="12">
        <f t="shared" si="16"/>
        <v>0.45067199535888097</v>
      </c>
      <c r="U92" s="13">
        <f t="shared" si="17"/>
        <v>1.6675739018673925</v>
      </c>
      <c r="V92" s="13">
        <f t="shared" si="18"/>
        <v>18.805544696061087</v>
      </c>
      <c r="W92" s="12">
        <f t="shared" si="19"/>
        <v>0.16225548355693467</v>
      </c>
      <c r="X92" s="12">
        <f t="shared" si="20"/>
        <v>0.39249658935879944</v>
      </c>
      <c r="Y92" s="13">
        <f t="shared" si="21"/>
        <v>3.0785384292314153</v>
      </c>
      <c r="Z92" s="13">
        <f t="shared" si="22"/>
        <v>30.925503369004094</v>
      </c>
      <c r="AA92" s="13">
        <f t="shared" si="23"/>
        <v>237987012.98701298</v>
      </c>
    </row>
    <row r="93" spans="1:27" x14ac:dyDescent="0.25">
      <c r="A93" s="10" t="s">
        <v>152</v>
      </c>
      <c r="B93" s="11">
        <v>599012000</v>
      </c>
      <c r="C93" s="11">
        <v>16198957000</v>
      </c>
      <c r="D93" s="11"/>
      <c r="E93" s="11">
        <v>793794000</v>
      </c>
      <c r="F93" s="11">
        <v>895822000</v>
      </c>
      <c r="G93" s="11">
        <v>857672000</v>
      </c>
      <c r="H93" s="11">
        <v>1719423000</v>
      </c>
      <c r="I93" s="11">
        <v>5235419000</v>
      </c>
      <c r="J93" s="11">
        <v>1342727000</v>
      </c>
      <c r="K93" s="11"/>
      <c r="L93" s="11">
        <v>22721206928.419998</v>
      </c>
      <c r="M93" s="11">
        <v>302916000</v>
      </c>
      <c r="N93" s="11">
        <v>4.95</v>
      </c>
      <c r="O93" s="11">
        <v>121010000</v>
      </c>
      <c r="P93" s="12">
        <f t="shared" si="12"/>
        <v>0.348379659920799</v>
      </c>
      <c r="Q93" s="12">
        <f t="shared" si="13"/>
        <v>0.11441529321721911</v>
      </c>
      <c r="R93" s="12">
        <f t="shared" si="14"/>
        <v>3.697843015448464E-2</v>
      </c>
      <c r="S93" s="12">
        <f t="shared" si="15"/>
        <v>4.9002784561993716E-2</v>
      </c>
      <c r="T93" s="12">
        <f t="shared" si="16"/>
        <v>0</v>
      </c>
      <c r="U93" s="13">
        <f t="shared" si="17"/>
        <v>1.4988770090486727</v>
      </c>
      <c r="V93" s="13">
        <f t="shared" si="18"/>
        <v>26.862405621228323</v>
      </c>
      <c r="W93" s="12">
        <f t="shared" si="19"/>
        <v>0.28008817334225955</v>
      </c>
      <c r="X93" s="12">
        <f t="shared" si="20"/>
        <v>0.50569270732472804</v>
      </c>
      <c r="Y93" s="13">
        <f t="shared" si="21"/>
        <v>4.9501032972481616</v>
      </c>
      <c r="Z93" s="13">
        <f t="shared" si="22"/>
        <v>37.931138154861671</v>
      </c>
      <c r="AA93" s="13">
        <f t="shared" si="23"/>
        <v>121012525.25252526</v>
      </c>
    </row>
    <row r="94" spans="1:27" x14ac:dyDescent="0.25">
      <c r="A94" s="10" t="s">
        <v>153</v>
      </c>
      <c r="B94" s="11">
        <v>4933000000</v>
      </c>
      <c r="C94" s="11">
        <v>54636000000</v>
      </c>
      <c r="D94" s="11"/>
      <c r="E94" s="11">
        <v>12879000000</v>
      </c>
      <c r="F94" s="11">
        <v>20979000000</v>
      </c>
      <c r="G94" s="11">
        <v>4030000000</v>
      </c>
      <c r="H94" s="11">
        <v>16316000000</v>
      </c>
      <c r="I94" s="11">
        <v>154644000000</v>
      </c>
      <c r="J94" s="11">
        <v>94414000000</v>
      </c>
      <c r="K94" s="11"/>
      <c r="L94" s="11">
        <v>18967314871.18</v>
      </c>
      <c r="M94" s="11"/>
      <c r="N94" s="11">
        <v>38.89</v>
      </c>
      <c r="O94" s="11">
        <v>126849271</v>
      </c>
      <c r="P94" s="12">
        <f t="shared" si="12"/>
        <v>0.30234126011277274</v>
      </c>
      <c r="Q94" s="12">
        <f t="shared" si="13"/>
        <v>3.1899071415638497E-2</v>
      </c>
      <c r="R94" s="12">
        <f t="shared" si="14"/>
        <v>9.0288454498865217E-2</v>
      </c>
      <c r="S94" s="12">
        <f t="shared" si="15"/>
        <v>0.23572369866022402</v>
      </c>
      <c r="T94" s="12">
        <f t="shared" si="16"/>
        <v>0</v>
      </c>
      <c r="U94" s="13">
        <f t="shared" si="17"/>
        <v>4.5004051670718335</v>
      </c>
      <c r="V94" s="13">
        <f t="shared" si="18"/>
        <v>5.40451474670766</v>
      </c>
      <c r="W94" s="12">
        <f t="shared" si="19"/>
        <v>3.6394834281585839E-2</v>
      </c>
      <c r="X94" s="12">
        <f t="shared" si="20"/>
        <v>0</v>
      </c>
      <c r="Y94" s="13">
        <f t="shared" si="21"/>
        <v>38.888674417372094</v>
      </c>
      <c r="Z94" s="13">
        <f t="shared" si="22"/>
        <v>3.8449857837380903</v>
      </c>
      <c r="AA94" s="13">
        <f t="shared" si="23"/>
        <v>126844947.28722036</v>
      </c>
    </row>
    <row r="95" spans="1:27" x14ac:dyDescent="0.25">
      <c r="A95" s="10" t="s">
        <v>154</v>
      </c>
      <c r="B95" s="11">
        <v>6288000000</v>
      </c>
      <c r="C95" s="11">
        <v>277892000000</v>
      </c>
      <c r="D95" s="11"/>
      <c r="E95" s="11">
        <v>9587000000</v>
      </c>
      <c r="F95" s="11">
        <v>12338000000</v>
      </c>
      <c r="G95" s="11"/>
      <c r="H95" s="11">
        <v>41218000000</v>
      </c>
      <c r="I95" s="11">
        <v>153266000000</v>
      </c>
      <c r="J95" s="11"/>
      <c r="K95" s="11"/>
      <c r="L95" s="11">
        <v>77190552258.039993</v>
      </c>
      <c r="M95" s="11">
        <v>1616000000</v>
      </c>
      <c r="N95" s="11">
        <v>23.82</v>
      </c>
      <c r="O95" s="11">
        <v>264017000</v>
      </c>
      <c r="P95" s="12">
        <f t="shared" si="12"/>
        <v>0.15255470910767141</v>
      </c>
      <c r="Q95" s="12">
        <f t="shared" si="13"/>
        <v>4.1026711729933579E-2</v>
      </c>
      <c r="R95" s="12">
        <f t="shared" si="14"/>
        <v>2.2627495573820045E-2</v>
      </c>
      <c r="S95" s="12">
        <f t="shared" si="15"/>
        <v>3.4499014005440962E-2</v>
      </c>
      <c r="T95" s="12">
        <f t="shared" si="16"/>
        <v>0</v>
      </c>
      <c r="U95" s="13">
        <f t="shared" si="17"/>
        <v>0</v>
      </c>
      <c r="V95" s="13">
        <f t="shared" si="18"/>
        <v>6.2563261677775968</v>
      </c>
      <c r="W95" s="12">
        <f t="shared" si="19"/>
        <v>0</v>
      </c>
      <c r="X95" s="12">
        <f t="shared" si="20"/>
        <v>0.25699745547073793</v>
      </c>
      <c r="Y95" s="13">
        <f t="shared" si="21"/>
        <v>23.816648170382969</v>
      </c>
      <c r="Z95" s="13">
        <f t="shared" si="22"/>
        <v>12.275851186075062</v>
      </c>
      <c r="AA95" s="13">
        <f t="shared" si="23"/>
        <v>263979848.86649874</v>
      </c>
    </row>
    <row r="96" spans="1:27" x14ac:dyDescent="0.25">
      <c r="A96" s="10" t="s">
        <v>155</v>
      </c>
      <c r="B96" s="11">
        <v>438300000</v>
      </c>
      <c r="C96" s="11">
        <v>5569150000</v>
      </c>
      <c r="D96" s="11">
        <v>2397332000</v>
      </c>
      <c r="E96" s="11">
        <v>511309000</v>
      </c>
      <c r="F96" s="11">
        <v>632692000</v>
      </c>
      <c r="G96" s="11">
        <v>832659000</v>
      </c>
      <c r="H96" s="11">
        <v>2834302000</v>
      </c>
      <c r="I96" s="11">
        <v>6039449000</v>
      </c>
      <c r="J96" s="11">
        <v>677285000</v>
      </c>
      <c r="K96" s="11"/>
      <c r="L96" s="11">
        <v>65445577439.099998</v>
      </c>
      <c r="M96" s="11"/>
      <c r="N96" s="11">
        <v>3</v>
      </c>
      <c r="O96" s="11">
        <v>146078000</v>
      </c>
      <c r="P96" s="12">
        <f t="shared" si="12"/>
        <v>0.15464124853314856</v>
      </c>
      <c r="Q96" s="12">
        <f t="shared" si="13"/>
        <v>7.2572845635421379E-2</v>
      </c>
      <c r="R96" s="12">
        <f t="shared" si="14"/>
        <v>7.87014176310568E-2</v>
      </c>
      <c r="S96" s="12">
        <f t="shared" si="15"/>
        <v>9.1810958584344113E-2</v>
      </c>
      <c r="T96" s="12">
        <f t="shared" si="16"/>
        <v>0.43046640869791619</v>
      </c>
      <c r="U96" s="13">
        <f t="shared" si="17"/>
        <v>1.0704813716626731</v>
      </c>
      <c r="V96" s="13">
        <f t="shared" si="18"/>
        <v>104.51035012154414</v>
      </c>
      <c r="W96" s="12">
        <f t="shared" si="19"/>
        <v>0.23711757675375833</v>
      </c>
      <c r="X96" s="12">
        <f t="shared" si="20"/>
        <v>0</v>
      </c>
      <c r="Y96" s="13">
        <f t="shared" si="21"/>
        <v>3.0004518134147511</v>
      </c>
      <c r="Z96" s="13">
        <f t="shared" si="22"/>
        <v>149.31685475496235</v>
      </c>
      <c r="AA96" s="13">
        <f t="shared" si="23"/>
        <v>146100000</v>
      </c>
    </row>
    <row r="97" spans="1:27" x14ac:dyDescent="0.25">
      <c r="A97" s="10" t="s">
        <v>156</v>
      </c>
      <c r="B97" s="11">
        <v>2757000000</v>
      </c>
      <c r="C97" s="11">
        <v>12928000000</v>
      </c>
      <c r="D97" s="11"/>
      <c r="E97" s="11"/>
      <c r="F97" s="11"/>
      <c r="G97" s="11">
        <v>3439000000</v>
      </c>
      <c r="H97" s="11">
        <v>14716000000</v>
      </c>
      <c r="I97" s="11">
        <v>41211000000</v>
      </c>
      <c r="J97" s="11">
        <v>791000000</v>
      </c>
      <c r="K97" s="11"/>
      <c r="L97" s="11">
        <v>27136694016.099998</v>
      </c>
      <c r="M97" s="11">
        <v>533000000</v>
      </c>
      <c r="N97" s="11">
        <v>17.559999999999999</v>
      </c>
      <c r="O97" s="11">
        <v>157000000</v>
      </c>
      <c r="P97" s="12">
        <f t="shared" si="12"/>
        <v>0.18734710519162817</v>
      </c>
      <c r="Q97" s="12">
        <f t="shared" si="13"/>
        <v>6.6899614180679912E-2</v>
      </c>
      <c r="R97" s="12">
        <f t="shared" si="14"/>
        <v>0.21325804455445543</v>
      </c>
      <c r="S97" s="12">
        <f t="shared" si="15"/>
        <v>0</v>
      </c>
      <c r="T97" s="12">
        <f t="shared" si="16"/>
        <v>0</v>
      </c>
      <c r="U97" s="13" t="str">
        <f t="shared" si="17"/>
        <v/>
      </c>
      <c r="V97" s="13" t="str">
        <f t="shared" si="18"/>
        <v/>
      </c>
      <c r="W97" s="12">
        <f t="shared" si="19"/>
        <v>0.221770813181144</v>
      </c>
      <c r="X97" s="12">
        <f t="shared" si="20"/>
        <v>0.19332607907145449</v>
      </c>
      <c r="Y97" s="13">
        <f t="shared" si="21"/>
        <v>17.560509554140129</v>
      </c>
      <c r="Z97" s="13">
        <f t="shared" si="22"/>
        <v>9.8428342459557481</v>
      </c>
      <c r="AA97" s="13">
        <f t="shared" si="23"/>
        <v>157004555.80865604</v>
      </c>
    </row>
    <row r="98" spans="1:27" x14ac:dyDescent="0.25">
      <c r="A98" s="10" t="s">
        <v>157</v>
      </c>
      <c r="B98" s="11">
        <v>2088000000</v>
      </c>
      <c r="C98" s="11">
        <v>20795000000</v>
      </c>
      <c r="D98" s="11">
        <v>12490000000</v>
      </c>
      <c r="E98" s="11">
        <v>3194000000</v>
      </c>
      <c r="F98" s="11">
        <v>3832000000</v>
      </c>
      <c r="G98" s="11">
        <v>3649000000</v>
      </c>
      <c r="H98" s="11">
        <v>254000000</v>
      </c>
      <c r="I98" s="11">
        <v>16610000000</v>
      </c>
      <c r="J98" s="11">
        <v>7839000000</v>
      </c>
      <c r="K98" s="11"/>
      <c r="L98" s="11">
        <v>72825230812.490005</v>
      </c>
      <c r="M98" s="11"/>
      <c r="N98" s="11">
        <v>2.59</v>
      </c>
      <c r="O98" s="11">
        <v>805100000</v>
      </c>
      <c r="P98" s="12">
        <f t="shared" si="12"/>
        <v>8.2204724409448815</v>
      </c>
      <c r="Q98" s="12">
        <f t="shared" si="13"/>
        <v>0.12570740517760384</v>
      </c>
      <c r="R98" s="12">
        <f t="shared" si="14"/>
        <v>0.10040875210387112</v>
      </c>
      <c r="S98" s="12">
        <f t="shared" si="15"/>
        <v>0.15359461408992547</v>
      </c>
      <c r="T98" s="12">
        <f t="shared" si="16"/>
        <v>0.60062515027650876</v>
      </c>
      <c r="U98" s="13">
        <f t="shared" si="17"/>
        <v>2.045668058455115</v>
      </c>
      <c r="V98" s="13">
        <f t="shared" si="18"/>
        <v>21.050164617038103</v>
      </c>
      <c r="W98" s="12">
        <f t="shared" si="19"/>
        <v>0.45088347955022862</v>
      </c>
      <c r="X98" s="12">
        <f t="shared" si="20"/>
        <v>0</v>
      </c>
      <c r="Y98" s="13">
        <f t="shared" si="21"/>
        <v>2.5934666501055768</v>
      </c>
      <c r="Z98" s="13">
        <f t="shared" si="22"/>
        <v>34.877984105598664</v>
      </c>
      <c r="AA98" s="13">
        <f t="shared" si="23"/>
        <v>806177606.17760623</v>
      </c>
    </row>
    <row r="99" spans="1:27" x14ac:dyDescent="0.25">
      <c r="A99" s="10" t="s">
        <v>158</v>
      </c>
      <c r="B99" s="11">
        <v>756000000</v>
      </c>
      <c r="C99" s="11">
        <v>6760000000</v>
      </c>
      <c r="D99" s="11">
        <v>2964000000</v>
      </c>
      <c r="E99" s="11"/>
      <c r="F99" s="11"/>
      <c r="G99" s="11">
        <v>380000000</v>
      </c>
      <c r="H99" s="11">
        <v>-20000000</v>
      </c>
      <c r="I99" s="11">
        <v>6436000000</v>
      </c>
      <c r="J99" s="11">
        <v>2484000000</v>
      </c>
      <c r="K99" s="11"/>
      <c r="L99" s="11">
        <v>11254150100.67</v>
      </c>
      <c r="M99" s="11">
        <v>602000000</v>
      </c>
      <c r="N99" s="11">
        <v>6.18</v>
      </c>
      <c r="O99" s="11">
        <v>122240000</v>
      </c>
      <c r="P99" s="12">
        <f t="shared" si="12"/>
        <v>-37.799999999999997</v>
      </c>
      <c r="Q99" s="12">
        <f t="shared" si="13"/>
        <v>0.11746426351771287</v>
      </c>
      <c r="R99" s="12">
        <f t="shared" si="14"/>
        <v>0.11183431952662722</v>
      </c>
      <c r="S99" s="12">
        <f t="shared" si="15"/>
        <v>0</v>
      </c>
      <c r="T99" s="12">
        <f t="shared" si="16"/>
        <v>0.43846153846153846</v>
      </c>
      <c r="U99" s="13" t="str">
        <f t="shared" si="17"/>
        <v/>
      </c>
      <c r="V99" s="13" t="str">
        <f t="shared" si="18"/>
        <v/>
      </c>
      <c r="W99" s="12">
        <f t="shared" si="19"/>
        <v>0.15422077922077923</v>
      </c>
      <c r="X99" s="12">
        <f t="shared" si="20"/>
        <v>0.79629629629629628</v>
      </c>
      <c r="Y99" s="13">
        <f t="shared" si="21"/>
        <v>6.1845549738219896</v>
      </c>
      <c r="Z99" s="13">
        <f t="shared" si="22"/>
        <v>14.886441932103175</v>
      </c>
      <c r="AA99" s="13">
        <f t="shared" si="23"/>
        <v>122330097.08737865</v>
      </c>
    </row>
    <row r="100" spans="1:27" x14ac:dyDescent="0.25">
      <c r="A100" s="10" t="s">
        <v>159</v>
      </c>
      <c r="B100" s="11">
        <v>18797000000</v>
      </c>
      <c r="C100" s="11">
        <v>121572000000</v>
      </c>
      <c r="D100" s="11"/>
      <c r="E100" s="11">
        <v>19149000000</v>
      </c>
      <c r="F100" s="11">
        <v>35375000000</v>
      </c>
      <c r="G100" s="11">
        <v>20391000000</v>
      </c>
      <c r="H100" s="11">
        <v>87456000000</v>
      </c>
      <c r="I100" s="11">
        <v>260002000000</v>
      </c>
      <c r="J100" s="11"/>
      <c r="K100" s="11"/>
      <c r="L100" s="11">
        <v>83393673210.309998</v>
      </c>
      <c r="M100" s="11">
        <v>4918000000</v>
      </c>
      <c r="N100" s="11">
        <v>5.2</v>
      </c>
      <c r="O100" s="11">
        <v>3617000000</v>
      </c>
      <c r="P100" s="12">
        <f t="shared" si="12"/>
        <v>0.21493093669959751</v>
      </c>
      <c r="Q100" s="12">
        <f t="shared" si="13"/>
        <v>7.2295597726171335E-2</v>
      </c>
      <c r="R100" s="12">
        <f t="shared" si="14"/>
        <v>0.15461619451847464</v>
      </c>
      <c r="S100" s="12">
        <f t="shared" si="15"/>
        <v>0.15751159806534398</v>
      </c>
      <c r="T100" s="12">
        <f t="shared" si="16"/>
        <v>0</v>
      </c>
      <c r="U100" s="13">
        <f t="shared" si="17"/>
        <v>0</v>
      </c>
      <c r="V100" s="13">
        <f t="shared" si="18"/>
        <v>2.3574183239663604</v>
      </c>
      <c r="W100" s="12">
        <f t="shared" si="19"/>
        <v>0.23315724478594951</v>
      </c>
      <c r="X100" s="12">
        <f t="shared" si="20"/>
        <v>0.26163749534500186</v>
      </c>
      <c r="Y100" s="13">
        <f t="shared" si="21"/>
        <v>5.1968482167542165</v>
      </c>
      <c r="Z100" s="13">
        <f t="shared" si="22"/>
        <v>4.4365416401718356</v>
      </c>
      <c r="AA100" s="13">
        <f t="shared" si="23"/>
        <v>3614807692.3076921</v>
      </c>
    </row>
    <row r="101" spans="1:27" x14ac:dyDescent="0.25">
      <c r="A101" s="10" t="s">
        <v>160</v>
      </c>
      <c r="B101" s="11">
        <v>4072200000</v>
      </c>
      <c r="C101" s="11">
        <v>6758400000</v>
      </c>
      <c r="D101" s="11"/>
      <c r="E101" s="11">
        <v>4431200000</v>
      </c>
      <c r="F101" s="11">
        <v>4538700000</v>
      </c>
      <c r="G101" s="11">
        <v>4329300000</v>
      </c>
      <c r="H101" s="11">
        <v>26824450000</v>
      </c>
      <c r="I101" s="11">
        <v>201993500000</v>
      </c>
      <c r="J101" s="11"/>
      <c r="K101" s="11"/>
      <c r="L101" s="11">
        <v>86612679068.080002</v>
      </c>
      <c r="M101" s="11">
        <v>4063200000</v>
      </c>
      <c r="N101" s="11">
        <v>11.21</v>
      </c>
      <c r="O101" s="11">
        <v>363208000</v>
      </c>
      <c r="P101" s="12">
        <f t="shared" si="12"/>
        <v>0.15180926356365182</v>
      </c>
      <c r="Q101" s="12">
        <f t="shared" si="13"/>
        <v>2.0160054655224056E-2</v>
      </c>
      <c r="R101" s="12">
        <f t="shared" si="14"/>
        <v>0.6025390625</v>
      </c>
      <c r="S101" s="12">
        <f t="shared" si="15"/>
        <v>0.65565814393939392</v>
      </c>
      <c r="T101" s="12">
        <f t="shared" si="16"/>
        <v>0</v>
      </c>
      <c r="U101" s="13">
        <f t="shared" si="17"/>
        <v>0</v>
      </c>
      <c r="V101" s="13">
        <f t="shared" si="18"/>
        <v>19.083146951347302</v>
      </c>
      <c r="W101" s="12">
        <f t="shared" si="19"/>
        <v>0.16139380304162806</v>
      </c>
      <c r="X101" s="12">
        <f t="shared" si="20"/>
        <v>0.99778989244143212</v>
      </c>
      <c r="Y101" s="13">
        <f t="shared" si="21"/>
        <v>11.211757450276426</v>
      </c>
      <c r="Z101" s="13">
        <f t="shared" si="22"/>
        <v>21.269259630686115</v>
      </c>
      <c r="AA101" s="13">
        <f t="shared" si="23"/>
        <v>363264942.01605707</v>
      </c>
    </row>
    <row r="102" spans="1:27" x14ac:dyDescent="0.25">
      <c r="A102" s="10" t="s">
        <v>161</v>
      </c>
      <c r="B102" s="11">
        <v>1451986000</v>
      </c>
      <c r="C102" s="11">
        <v>12138590000</v>
      </c>
      <c r="D102" s="11"/>
      <c r="E102" s="11">
        <v>1853611000</v>
      </c>
      <c r="F102" s="11">
        <v>2224500000</v>
      </c>
      <c r="G102" s="11">
        <v>1506343000</v>
      </c>
      <c r="H102" s="11">
        <v>2949253500</v>
      </c>
      <c r="I102" s="11">
        <v>8803219000</v>
      </c>
      <c r="J102" s="11">
        <v>0</v>
      </c>
      <c r="K102" s="11"/>
      <c r="L102" s="11">
        <v>44382594442.699997</v>
      </c>
      <c r="M102" s="11"/>
      <c r="N102" s="11">
        <v>1.1200000000000001</v>
      </c>
      <c r="O102" s="11">
        <v>1301859000</v>
      </c>
      <c r="P102" s="12">
        <f t="shared" si="12"/>
        <v>0.49232322687758107</v>
      </c>
      <c r="Q102" s="12">
        <f t="shared" si="13"/>
        <v>0.16493807549261241</v>
      </c>
      <c r="R102" s="12">
        <f t="shared" si="14"/>
        <v>0.11961735259202264</v>
      </c>
      <c r="S102" s="12">
        <f t="shared" si="15"/>
        <v>0.1527039796220154</v>
      </c>
      <c r="T102" s="12">
        <f t="shared" si="16"/>
        <v>0</v>
      </c>
      <c r="U102" s="13">
        <f t="shared" si="17"/>
        <v>0</v>
      </c>
      <c r="V102" s="13">
        <f t="shared" si="18"/>
        <v>19.951716989300966</v>
      </c>
      <c r="W102" s="12">
        <f t="shared" si="19"/>
        <v>0.51075399249335462</v>
      </c>
      <c r="X102" s="12">
        <f t="shared" si="20"/>
        <v>0</v>
      </c>
      <c r="Y102" s="13">
        <f t="shared" si="21"/>
        <v>1.1153174038048668</v>
      </c>
      <c r="Z102" s="13">
        <f t="shared" si="22"/>
        <v>30.566819819681456</v>
      </c>
      <c r="AA102" s="13">
        <f t="shared" si="23"/>
        <v>1296416071.4285712</v>
      </c>
    </row>
    <row r="103" spans="1:27" x14ac:dyDescent="0.25">
      <c r="A103" s="10" t="s">
        <v>162</v>
      </c>
      <c r="B103" s="11">
        <v>2787000000</v>
      </c>
      <c r="C103" s="11">
        <v>33670000000</v>
      </c>
      <c r="D103" s="11">
        <v>8604000000</v>
      </c>
      <c r="E103" s="11">
        <v>3840000000</v>
      </c>
      <c r="F103" s="11">
        <v>4958000000</v>
      </c>
      <c r="G103" s="11">
        <v>2671000000</v>
      </c>
      <c r="H103" s="11">
        <v>11637500000</v>
      </c>
      <c r="I103" s="11">
        <v>34445000000</v>
      </c>
      <c r="J103" s="11"/>
      <c r="K103" s="11"/>
      <c r="L103" s="11">
        <v>92920459848.449997</v>
      </c>
      <c r="M103" s="11">
        <v>1080000000</v>
      </c>
      <c r="N103" s="11">
        <v>20.079999999999998</v>
      </c>
      <c r="O103" s="11">
        <v>138800000</v>
      </c>
      <c r="P103" s="12">
        <f t="shared" si="12"/>
        <v>0.23948442534908701</v>
      </c>
      <c r="Q103" s="12">
        <f t="shared" si="13"/>
        <v>8.0911598200029036E-2</v>
      </c>
      <c r="R103" s="12">
        <f t="shared" si="14"/>
        <v>8.2773982773982777E-2</v>
      </c>
      <c r="S103" s="12">
        <f t="shared" si="15"/>
        <v>0.11404811404811405</v>
      </c>
      <c r="T103" s="12">
        <f t="shared" si="16"/>
        <v>0.25553905553905554</v>
      </c>
      <c r="U103" s="13">
        <f t="shared" si="17"/>
        <v>0</v>
      </c>
      <c r="V103" s="13">
        <f t="shared" si="18"/>
        <v>18.741520743939088</v>
      </c>
      <c r="W103" s="12">
        <f t="shared" si="19"/>
        <v>0.22951664876476907</v>
      </c>
      <c r="X103" s="12">
        <f t="shared" si="20"/>
        <v>0.38751345532831</v>
      </c>
      <c r="Y103" s="13">
        <f t="shared" si="21"/>
        <v>20.079250720461093</v>
      </c>
      <c r="Z103" s="13">
        <f t="shared" si="22"/>
        <v>33.340674506081804</v>
      </c>
      <c r="AA103" s="13">
        <f t="shared" si="23"/>
        <v>138794820.7171315</v>
      </c>
    </row>
    <row r="104" spans="1:27" x14ac:dyDescent="0.25">
      <c r="A104" s="10" t="s">
        <v>163</v>
      </c>
      <c r="B104" s="11">
        <v>1107000000</v>
      </c>
      <c r="C104" s="11">
        <v>8822000000</v>
      </c>
      <c r="D104" s="11"/>
      <c r="E104" s="11">
        <v>1723000000</v>
      </c>
      <c r="F104" s="11">
        <v>3053000000</v>
      </c>
      <c r="G104" s="11">
        <v>-531000000</v>
      </c>
      <c r="H104" s="11">
        <v>8900500000</v>
      </c>
      <c r="I104" s="11">
        <v>40285000000</v>
      </c>
      <c r="J104" s="11">
        <v>17456000000</v>
      </c>
      <c r="K104" s="11"/>
      <c r="L104" s="11">
        <v>23168970150</v>
      </c>
      <c r="M104" s="11"/>
      <c r="N104" s="11">
        <v>3.6</v>
      </c>
      <c r="O104" s="11">
        <v>307100000</v>
      </c>
      <c r="P104" s="12">
        <f t="shared" si="12"/>
        <v>0.12437503511038706</v>
      </c>
      <c r="Q104" s="12">
        <f t="shared" si="13"/>
        <v>2.747921062430185E-2</v>
      </c>
      <c r="R104" s="12">
        <f t="shared" si="14"/>
        <v>0.12548175017002947</v>
      </c>
      <c r="S104" s="12">
        <f t="shared" si="15"/>
        <v>0.19530718657900703</v>
      </c>
      <c r="T104" s="12">
        <f t="shared" si="16"/>
        <v>0</v>
      </c>
      <c r="U104" s="13">
        <f t="shared" si="17"/>
        <v>5.7176547658041272</v>
      </c>
      <c r="V104" s="13">
        <f t="shared" si="18"/>
        <v>13.306573910907304</v>
      </c>
      <c r="W104" s="12">
        <f t="shared" si="19"/>
        <v>-2.0146832849581697E-2</v>
      </c>
      <c r="X104" s="12">
        <f t="shared" si="20"/>
        <v>0</v>
      </c>
      <c r="Y104" s="13">
        <f t="shared" si="21"/>
        <v>3.6046890263757732</v>
      </c>
      <c r="Z104" s="13">
        <f t="shared" si="22"/>
        <v>20.929512330623307</v>
      </c>
      <c r="AA104" s="13">
        <f t="shared" si="23"/>
        <v>307500000</v>
      </c>
    </row>
    <row r="105" spans="1:27" x14ac:dyDescent="0.25">
      <c r="A105" s="10" t="s">
        <v>164</v>
      </c>
      <c r="B105" s="11">
        <v>-6444000000</v>
      </c>
      <c r="C105" s="11">
        <v>198101000000</v>
      </c>
      <c r="D105" s="11">
        <v>14571000000</v>
      </c>
      <c r="E105" s="11">
        <v>-7296000000</v>
      </c>
      <c r="F105" s="11">
        <v>-6035000000</v>
      </c>
      <c r="G105" s="11">
        <v>7112000000</v>
      </c>
      <c r="H105" s="11">
        <v>24671500000</v>
      </c>
      <c r="I105" s="11">
        <v>81175000000</v>
      </c>
      <c r="J105" s="11">
        <v>17493000000</v>
      </c>
      <c r="K105" s="11"/>
      <c r="L105" s="11">
        <v>33380676446.529999</v>
      </c>
      <c r="M105" s="11"/>
      <c r="N105" s="11">
        <v>-13</v>
      </c>
      <c r="O105" s="11">
        <v>495591000</v>
      </c>
      <c r="P105" s="12">
        <f t="shared" si="12"/>
        <v>-0.26119206371724457</v>
      </c>
      <c r="Q105" s="12">
        <f t="shared" si="13"/>
        <v>-7.9384046812442252E-2</v>
      </c>
      <c r="R105" s="12">
        <f t="shared" si="14"/>
        <v>-3.2528861540325388E-2</v>
      </c>
      <c r="S105" s="12">
        <f t="shared" si="15"/>
        <v>-3.6829697982342341E-2</v>
      </c>
      <c r="T105" s="12">
        <f t="shared" si="16"/>
        <v>7.3553389432663138E-2</v>
      </c>
      <c r="U105" s="13">
        <f t="shared" si="17"/>
        <v>-2.8985915492957748</v>
      </c>
      <c r="V105" s="13">
        <f t="shared" si="18"/>
        <v>-8.429772402076221</v>
      </c>
      <c r="W105" s="12">
        <f t="shared" si="19"/>
        <v>0.16867269859716111</v>
      </c>
      <c r="X105" s="12">
        <f t="shared" si="20"/>
        <v>0</v>
      </c>
      <c r="Y105" s="13">
        <f t="shared" si="21"/>
        <v>-13.002657433246366</v>
      </c>
      <c r="Z105" s="13">
        <f t="shared" si="22"/>
        <v>-5.1801173877296707</v>
      </c>
      <c r="AA105" s="13">
        <f t="shared" si="23"/>
        <v>495692307.69230771</v>
      </c>
    </row>
    <row r="106" spans="1:27" x14ac:dyDescent="0.25">
      <c r="A106" s="10" t="s">
        <v>165</v>
      </c>
      <c r="B106" s="11">
        <v>1071000000</v>
      </c>
      <c r="C106" s="11">
        <v>9412000000</v>
      </c>
      <c r="D106" s="11"/>
      <c r="E106" s="11">
        <v>2119000000</v>
      </c>
      <c r="F106" s="11">
        <v>3709000000</v>
      </c>
      <c r="G106" s="11">
        <v>-2672000000</v>
      </c>
      <c r="H106" s="11">
        <v>11202000000</v>
      </c>
      <c r="I106" s="11">
        <v>47837000000</v>
      </c>
      <c r="J106" s="11">
        <v>20566000000</v>
      </c>
      <c r="K106" s="11"/>
      <c r="L106" s="11">
        <v>28338621673.959999</v>
      </c>
      <c r="M106" s="11">
        <v>581000000</v>
      </c>
      <c r="N106" s="11">
        <v>1.62</v>
      </c>
      <c r="O106" s="11">
        <v>659393000</v>
      </c>
      <c r="P106" s="12">
        <f t="shared" si="12"/>
        <v>9.5607927155865025E-2</v>
      </c>
      <c r="Q106" s="12">
        <f t="shared" si="13"/>
        <v>2.2388527708677382E-2</v>
      </c>
      <c r="R106" s="12">
        <f t="shared" si="14"/>
        <v>0.11379090522736932</v>
      </c>
      <c r="S106" s="12">
        <f t="shared" si="15"/>
        <v>0.22513812154696133</v>
      </c>
      <c r="T106" s="12">
        <f t="shared" si="16"/>
        <v>0</v>
      </c>
      <c r="U106" s="13">
        <f t="shared" si="17"/>
        <v>5.5448908061472091</v>
      </c>
      <c r="V106" s="13">
        <f t="shared" si="18"/>
        <v>13.185392740350499</v>
      </c>
      <c r="W106" s="12">
        <f t="shared" si="19"/>
        <v>-8.4109796021153357E-2</v>
      </c>
      <c r="X106" s="12">
        <f t="shared" si="20"/>
        <v>0.54248366013071891</v>
      </c>
      <c r="Y106" s="13">
        <f t="shared" si="21"/>
        <v>1.624221063917876</v>
      </c>
      <c r="Z106" s="13">
        <f t="shared" si="22"/>
        <v>26.459964214715217</v>
      </c>
      <c r="AA106" s="13">
        <f t="shared" si="23"/>
        <v>661111111.11111104</v>
      </c>
    </row>
    <row r="107" spans="1:27" x14ac:dyDescent="0.25">
      <c r="A107" s="10" t="s">
        <v>166</v>
      </c>
      <c r="B107" s="11">
        <v>3223000000</v>
      </c>
      <c r="C107" s="11">
        <v>58665000000</v>
      </c>
      <c r="D107" s="11"/>
      <c r="E107" s="11"/>
      <c r="F107" s="11"/>
      <c r="G107" s="11">
        <v>27291000000</v>
      </c>
      <c r="H107" s="11">
        <v>87901500000</v>
      </c>
      <c r="I107" s="11">
        <v>682905000000</v>
      </c>
      <c r="J107" s="11"/>
      <c r="K107" s="11"/>
      <c r="L107" s="11">
        <v>123265501907.98</v>
      </c>
      <c r="M107" s="11">
        <v>1784000000</v>
      </c>
      <c r="N107" s="11">
        <v>5.17</v>
      </c>
      <c r="O107" s="11">
        <v>623400000</v>
      </c>
      <c r="P107" s="12">
        <f t="shared" si="12"/>
        <v>3.6666040966308877E-2</v>
      </c>
      <c r="Q107" s="12">
        <f t="shared" si="13"/>
        <v>4.7195437139865718E-3</v>
      </c>
      <c r="R107" s="12">
        <f t="shared" si="14"/>
        <v>5.4939060768771843E-2</v>
      </c>
      <c r="S107" s="12">
        <f t="shared" si="15"/>
        <v>0</v>
      </c>
      <c r="T107" s="12">
        <f t="shared" si="16"/>
        <v>0</v>
      </c>
      <c r="U107" s="13" t="str">
        <f t="shared" si="17"/>
        <v/>
      </c>
      <c r="V107" s="13" t="str">
        <f t="shared" si="18"/>
        <v/>
      </c>
      <c r="W107" s="12">
        <f t="shared" si="19"/>
        <v>0.31047251753383048</v>
      </c>
      <c r="X107" s="12">
        <f t="shared" si="20"/>
        <v>0.55352156376047157</v>
      </c>
      <c r="Y107" s="13">
        <f t="shared" si="21"/>
        <v>5.1700352903432787</v>
      </c>
      <c r="Z107" s="13">
        <f t="shared" si="22"/>
        <v>38.245579245417311</v>
      </c>
      <c r="AA107" s="13">
        <f t="shared" si="23"/>
        <v>623404255.3191489</v>
      </c>
    </row>
    <row r="108" spans="1:27" x14ac:dyDescent="0.25">
      <c r="A108" s="10" t="s">
        <v>167</v>
      </c>
      <c r="B108" s="11">
        <v>468849000</v>
      </c>
      <c r="C108" s="11">
        <v>6602084000</v>
      </c>
      <c r="D108" s="11"/>
      <c r="E108" s="11">
        <v>96121000</v>
      </c>
      <c r="F108" s="11">
        <v>649719000</v>
      </c>
      <c r="G108" s="11">
        <v>-538236000</v>
      </c>
      <c r="H108" s="11">
        <v>8014802500</v>
      </c>
      <c r="I108" s="11">
        <v>17286701000</v>
      </c>
      <c r="J108" s="11">
        <v>3193781000</v>
      </c>
      <c r="K108" s="11"/>
      <c r="L108" s="11">
        <v>64021009493.5</v>
      </c>
      <c r="M108" s="11"/>
      <c r="N108" s="11">
        <v>2.4300000000000002</v>
      </c>
      <c r="O108" s="11">
        <v>193128000</v>
      </c>
      <c r="P108" s="12">
        <f t="shared" si="12"/>
        <v>5.8497885630993403E-2</v>
      </c>
      <c r="Q108" s="12">
        <f t="shared" si="13"/>
        <v>2.7121947675267825E-2</v>
      </c>
      <c r="R108" s="12">
        <f t="shared" si="14"/>
        <v>7.1015303652604236E-2</v>
      </c>
      <c r="S108" s="12">
        <f t="shared" si="15"/>
        <v>1.4559190704026182E-2</v>
      </c>
      <c r="T108" s="12">
        <f t="shared" si="16"/>
        <v>0</v>
      </c>
      <c r="U108" s="13">
        <f t="shared" si="17"/>
        <v>4.9156342972885199</v>
      </c>
      <c r="V108" s="13">
        <f t="shared" si="18"/>
        <v>103.45209312564354</v>
      </c>
      <c r="W108" s="12">
        <f t="shared" si="19"/>
        <v>-4.8019983970320604E-2</v>
      </c>
      <c r="X108" s="12">
        <f t="shared" si="20"/>
        <v>0</v>
      </c>
      <c r="Y108" s="13">
        <f t="shared" si="21"/>
        <v>2.4276593761650305</v>
      </c>
      <c r="Z108" s="13">
        <f t="shared" si="22"/>
        <v>136.54931437093819</v>
      </c>
      <c r="AA108" s="13">
        <f t="shared" si="23"/>
        <v>192941975.30864197</v>
      </c>
    </row>
    <row r="109" spans="1:27" x14ac:dyDescent="0.25">
      <c r="A109" s="10" t="s">
        <v>168</v>
      </c>
      <c r="B109" s="11">
        <v>800602000</v>
      </c>
      <c r="C109" s="11">
        <v>6560012000</v>
      </c>
      <c r="D109" s="11"/>
      <c r="E109" s="11">
        <v>708214000</v>
      </c>
      <c r="F109" s="11">
        <v>931315000</v>
      </c>
      <c r="G109" s="11">
        <v>2792135000</v>
      </c>
      <c r="H109" s="11">
        <v>11974406500</v>
      </c>
      <c r="I109" s="11">
        <v>28848792000</v>
      </c>
      <c r="J109" s="11">
        <v>7200000000</v>
      </c>
      <c r="K109" s="11"/>
      <c r="L109" s="11">
        <v>41742724408.25</v>
      </c>
      <c r="M109" s="11"/>
      <c r="N109" s="11">
        <v>3.02</v>
      </c>
      <c r="O109" s="11">
        <v>264775000</v>
      </c>
      <c r="P109" s="12">
        <f t="shared" si="12"/>
        <v>6.6859430569690445E-2</v>
      </c>
      <c r="Q109" s="12">
        <f t="shared" si="13"/>
        <v>2.7751664610428054E-2</v>
      </c>
      <c r="R109" s="12">
        <f t="shared" si="14"/>
        <v>0.12204276455591849</v>
      </c>
      <c r="S109" s="12">
        <f t="shared" si="15"/>
        <v>0.10795925373307244</v>
      </c>
      <c r="T109" s="12">
        <f t="shared" si="16"/>
        <v>0</v>
      </c>
      <c r="U109" s="13">
        <f t="shared" si="17"/>
        <v>7.7310040104583306</v>
      </c>
      <c r="V109" s="13">
        <f t="shared" si="18"/>
        <v>52.552277594852441</v>
      </c>
      <c r="W109" s="12">
        <f t="shared" si="19"/>
        <v>0.14561780569322966</v>
      </c>
      <c r="X109" s="12">
        <f t="shared" si="20"/>
        <v>0</v>
      </c>
      <c r="Y109" s="13">
        <f t="shared" si="21"/>
        <v>3.0237069209706355</v>
      </c>
      <c r="Z109" s="13">
        <f t="shared" si="22"/>
        <v>52.139170784297313</v>
      </c>
      <c r="AA109" s="13">
        <f t="shared" si="23"/>
        <v>265100000</v>
      </c>
    </row>
    <row r="110" spans="1:27" x14ac:dyDescent="0.25">
      <c r="A110" s="10" t="s">
        <v>169</v>
      </c>
      <c r="B110" s="11">
        <v>235800000</v>
      </c>
      <c r="C110" s="11">
        <v>4231000000</v>
      </c>
      <c r="D110" s="11">
        <v>2773400000</v>
      </c>
      <c r="E110" s="11">
        <v>497900000</v>
      </c>
      <c r="F110" s="11">
        <v>882600000</v>
      </c>
      <c r="G110" s="11">
        <v>569500000</v>
      </c>
      <c r="H110" s="11">
        <v>8263400000</v>
      </c>
      <c r="I110" s="11">
        <v>12482300000</v>
      </c>
      <c r="J110" s="11">
        <v>1859500000</v>
      </c>
      <c r="K110" s="11"/>
      <c r="L110" s="11">
        <v>13851074687.9</v>
      </c>
      <c r="M110" s="11">
        <v>0</v>
      </c>
      <c r="N110" s="11">
        <v>1.2</v>
      </c>
      <c r="O110" s="11">
        <v>196100000</v>
      </c>
      <c r="P110" s="12">
        <f t="shared" si="12"/>
        <v>2.8535469661398454E-2</v>
      </c>
      <c r="Q110" s="12">
        <f t="shared" si="13"/>
        <v>1.8890749301010229E-2</v>
      </c>
      <c r="R110" s="12">
        <f t="shared" si="14"/>
        <v>5.5731505554242493E-2</v>
      </c>
      <c r="S110" s="12">
        <f t="shared" si="15"/>
        <v>0.11767903568896242</v>
      </c>
      <c r="T110" s="12">
        <f t="shared" si="16"/>
        <v>0.65549515480973763</v>
      </c>
      <c r="U110" s="13">
        <f t="shared" si="17"/>
        <v>2.106843417176524</v>
      </c>
      <c r="V110" s="13">
        <f t="shared" si="18"/>
        <v>17.800333886131881</v>
      </c>
      <c r="W110" s="12">
        <f t="shared" si="19"/>
        <v>5.6258582026889527E-2</v>
      </c>
      <c r="X110" s="12">
        <f t="shared" si="20"/>
        <v>0</v>
      </c>
      <c r="Y110" s="13">
        <f t="shared" si="21"/>
        <v>1.2024477307496175</v>
      </c>
      <c r="Z110" s="13">
        <f t="shared" si="22"/>
        <v>58.740774757845628</v>
      </c>
      <c r="AA110" s="13">
        <f t="shared" si="23"/>
        <v>196500000</v>
      </c>
    </row>
    <row r="111" spans="1:27" x14ac:dyDescent="0.25">
      <c r="A111" s="10" t="s">
        <v>170</v>
      </c>
      <c r="B111" s="11">
        <v>7322000000</v>
      </c>
      <c r="C111" s="11">
        <v>58188000000</v>
      </c>
      <c r="D111" s="11"/>
      <c r="E111" s="11"/>
      <c r="F111" s="11"/>
      <c r="G111" s="11">
        <v>7817000000</v>
      </c>
      <c r="H111" s="11">
        <v>64889500000</v>
      </c>
      <c r="I111" s="11">
        <v>122725000000</v>
      </c>
      <c r="J111" s="11">
        <v>22797000000</v>
      </c>
      <c r="K111" s="11"/>
      <c r="L111" s="11">
        <v>131600114546.41</v>
      </c>
      <c r="M111" s="11">
        <v>4029000000</v>
      </c>
      <c r="N111" s="11">
        <v>5.98</v>
      </c>
      <c r="O111" s="11">
        <v>1224960000</v>
      </c>
      <c r="P111" s="12">
        <f t="shared" si="12"/>
        <v>0.11283797840944991</v>
      </c>
      <c r="Q111" s="12">
        <f t="shared" si="13"/>
        <v>5.9661845589733142E-2</v>
      </c>
      <c r="R111" s="12">
        <f t="shared" si="14"/>
        <v>0.12583350519007355</v>
      </c>
      <c r="S111" s="12">
        <f t="shared" si="15"/>
        <v>0</v>
      </c>
      <c r="T111" s="12">
        <f t="shared" si="16"/>
        <v>0</v>
      </c>
      <c r="U111" s="13" t="str">
        <f t="shared" si="17"/>
        <v/>
      </c>
      <c r="V111" s="13" t="str">
        <f t="shared" si="18"/>
        <v/>
      </c>
      <c r="W111" s="12">
        <f t="shared" si="19"/>
        <v>8.9147132112696939E-2</v>
      </c>
      <c r="X111" s="12">
        <f t="shared" si="20"/>
        <v>0.55025949194209234</v>
      </c>
      <c r="Y111" s="13">
        <f t="shared" si="21"/>
        <v>5.9773380355276906</v>
      </c>
      <c r="Z111" s="13">
        <f t="shared" si="22"/>
        <v>17.973247001694894</v>
      </c>
      <c r="AA111" s="13">
        <f t="shared" si="23"/>
        <v>1224414715.7190635</v>
      </c>
    </row>
    <row r="112" spans="1:27" x14ac:dyDescent="0.25">
      <c r="A112" s="10" t="s">
        <v>171</v>
      </c>
      <c r="B112" s="11">
        <v>2548677000</v>
      </c>
      <c r="C112" s="11">
        <v>328680018000</v>
      </c>
      <c r="D112" s="11">
        <v>12521102000</v>
      </c>
      <c r="E112" s="11">
        <v>2789199000</v>
      </c>
      <c r="F112" s="11">
        <v>3811657000</v>
      </c>
      <c r="G112" s="11">
        <v>1558112000</v>
      </c>
      <c r="H112" s="11">
        <v>2205213500</v>
      </c>
      <c r="I112" s="11">
        <v>81652100000</v>
      </c>
      <c r="J112" s="11">
        <v>12385520000</v>
      </c>
      <c r="K112" s="11"/>
      <c r="L112" s="11">
        <v>58846936545.089996</v>
      </c>
      <c r="M112" s="11">
        <v>458977000</v>
      </c>
      <c r="N112" s="11">
        <v>13.05</v>
      </c>
      <c r="O112" s="11">
        <v>195352000</v>
      </c>
      <c r="P112" s="12">
        <f t="shared" si="12"/>
        <v>1.1557506790158867</v>
      </c>
      <c r="Q112" s="12">
        <f t="shared" si="13"/>
        <v>3.1213857328837837E-2</v>
      </c>
      <c r="R112" s="12">
        <f t="shared" si="14"/>
        <v>7.754280334741858E-3</v>
      </c>
      <c r="S112" s="12">
        <f t="shared" si="15"/>
        <v>8.486061966809311E-3</v>
      </c>
      <c r="T112" s="12">
        <f t="shared" si="16"/>
        <v>3.8095111702227055E-2</v>
      </c>
      <c r="U112" s="13">
        <f t="shared" si="17"/>
        <v>3.2493794693488947</v>
      </c>
      <c r="V112" s="13">
        <f t="shared" si="18"/>
        <v>18.688055232957741</v>
      </c>
      <c r="W112" s="12">
        <f t="shared" si="19"/>
        <v>0.10678777732456014</v>
      </c>
      <c r="X112" s="12">
        <f t="shared" si="20"/>
        <v>0.18008441242260201</v>
      </c>
      <c r="Y112" s="13">
        <f t="shared" si="21"/>
        <v>13.046587698103936</v>
      </c>
      <c r="Z112" s="13">
        <f t="shared" si="22"/>
        <v>23.089209242712982</v>
      </c>
      <c r="AA112" s="13">
        <f t="shared" si="23"/>
        <v>195300919.54022989</v>
      </c>
    </row>
    <row r="113" spans="1:27" x14ac:dyDescent="0.25">
      <c r="A113" s="10" t="s">
        <v>172</v>
      </c>
      <c r="B113" s="11">
        <v>8838000000</v>
      </c>
      <c r="C113" s="11">
        <v>286265000000</v>
      </c>
      <c r="D113" s="11"/>
      <c r="E113" s="11">
        <v>11225000000</v>
      </c>
      <c r="F113" s="11">
        <v>13790000000</v>
      </c>
      <c r="G113" s="11">
        <v>8806000000</v>
      </c>
      <c r="H113" s="11">
        <v>30317000000</v>
      </c>
      <c r="I113" s="11">
        <v>86430000000</v>
      </c>
      <c r="J113" s="11">
        <v>6618000000</v>
      </c>
      <c r="K113" s="11"/>
      <c r="L113" s="11">
        <v>404882830695.34003</v>
      </c>
      <c r="M113" s="11">
        <v>2183000000</v>
      </c>
      <c r="N113" s="11">
        <v>19.89</v>
      </c>
      <c r="O113" s="11">
        <v>444455000</v>
      </c>
      <c r="P113" s="12">
        <f t="shared" si="12"/>
        <v>0.29151960946003891</v>
      </c>
      <c r="Q113" s="12">
        <f t="shared" si="13"/>
        <v>0.10225616105518917</v>
      </c>
      <c r="R113" s="12">
        <f t="shared" si="14"/>
        <v>3.0873491345431679E-2</v>
      </c>
      <c r="S113" s="12">
        <f t="shared" si="15"/>
        <v>3.9211919026077235E-2</v>
      </c>
      <c r="T113" s="12">
        <f t="shared" si="16"/>
        <v>0</v>
      </c>
      <c r="U113" s="13">
        <f t="shared" si="17"/>
        <v>0.47991298042059466</v>
      </c>
      <c r="V113" s="13">
        <f t="shared" si="18"/>
        <v>29.840524343389415</v>
      </c>
      <c r="W113" s="12">
        <f t="shared" si="19"/>
        <v>0.23841884391498577</v>
      </c>
      <c r="X113" s="12">
        <f t="shared" si="20"/>
        <v>0.24700158406879386</v>
      </c>
      <c r="Y113" s="13">
        <f t="shared" si="21"/>
        <v>19.8850277305914</v>
      </c>
      <c r="Z113" s="13">
        <f t="shared" si="22"/>
        <v>45.811589804858571</v>
      </c>
      <c r="AA113" s="13">
        <f t="shared" si="23"/>
        <v>444343891.40271491</v>
      </c>
    </row>
    <row r="114" spans="1:27" x14ac:dyDescent="0.25">
      <c r="A114" s="10" t="s">
        <v>173</v>
      </c>
      <c r="B114" s="11">
        <v>1176659000</v>
      </c>
      <c r="C114" s="11">
        <v>4783723000</v>
      </c>
      <c r="D114" s="11"/>
      <c r="E114" s="11">
        <v>2203149000</v>
      </c>
      <c r="F114" s="11">
        <v>2619090000</v>
      </c>
      <c r="G114" s="11">
        <v>1310355000</v>
      </c>
      <c r="H114" s="11">
        <v>3481982000</v>
      </c>
      <c r="I114" s="11">
        <v>26664790000</v>
      </c>
      <c r="J114" s="11">
        <v>10360640000</v>
      </c>
      <c r="K114" s="11"/>
      <c r="L114" s="11">
        <v>22952491715.400002</v>
      </c>
      <c r="M114" s="11"/>
      <c r="N114" s="11">
        <v>17.190000000000001</v>
      </c>
      <c r="O114" s="11">
        <v>68443000</v>
      </c>
      <c r="P114" s="12">
        <f t="shared" si="12"/>
        <v>0.33792793874293436</v>
      </c>
      <c r="Q114" s="12">
        <f t="shared" si="13"/>
        <v>4.4127817995191408E-2</v>
      </c>
      <c r="R114" s="12">
        <f t="shared" si="14"/>
        <v>0.24597139090202338</v>
      </c>
      <c r="S114" s="12">
        <f t="shared" si="15"/>
        <v>0.46055112304788548</v>
      </c>
      <c r="T114" s="12">
        <f t="shared" si="16"/>
        <v>0</v>
      </c>
      <c r="U114" s="13">
        <f t="shared" si="17"/>
        <v>3.9558167149658852</v>
      </c>
      <c r="V114" s="13">
        <f t="shared" si="18"/>
        <v>12.719353559976939</v>
      </c>
      <c r="W114" s="12">
        <f t="shared" si="19"/>
        <v>9.4660895890966323E-2</v>
      </c>
      <c r="X114" s="12">
        <f t="shared" si="20"/>
        <v>0</v>
      </c>
      <c r="Y114" s="13">
        <f t="shared" si="21"/>
        <v>17.191809242727526</v>
      </c>
      <c r="Z114" s="13">
        <f t="shared" si="22"/>
        <v>19.506493993077012</v>
      </c>
      <c r="AA114" s="13">
        <f t="shared" si="23"/>
        <v>68450203.606748104</v>
      </c>
    </row>
    <row r="115" spans="1:27" x14ac:dyDescent="0.25">
      <c r="A115" s="10" t="s">
        <v>174</v>
      </c>
      <c r="B115" s="11">
        <v>1553201000</v>
      </c>
      <c r="C115" s="11"/>
      <c r="D115" s="11"/>
      <c r="E115" s="11"/>
      <c r="F115" s="11">
        <v>1918296000</v>
      </c>
      <c r="G115" s="11">
        <v>1339233000</v>
      </c>
      <c r="H115" s="11">
        <v>5306519500</v>
      </c>
      <c r="I115" s="11">
        <v>9649036000</v>
      </c>
      <c r="J115" s="11">
        <v>11006000</v>
      </c>
      <c r="K115" s="11"/>
      <c r="L115" s="11">
        <v>26228239214.43</v>
      </c>
      <c r="M115" s="11"/>
      <c r="N115" s="11">
        <v>1.61</v>
      </c>
      <c r="O115" s="11">
        <v>965215000</v>
      </c>
      <c r="P115" s="12">
        <f t="shared" si="12"/>
        <v>0.29269674784008615</v>
      </c>
      <c r="Q115" s="12">
        <f t="shared" si="13"/>
        <v>0.1609695517769858</v>
      </c>
      <c r="R115" s="12" t="str">
        <f t="shared" si="14"/>
        <v/>
      </c>
      <c r="S115" s="12" t="str">
        <f t="shared" si="15"/>
        <v/>
      </c>
      <c r="T115" s="12" t="str">
        <f t="shared" si="16"/>
        <v/>
      </c>
      <c r="U115" s="13">
        <f t="shared" si="17"/>
        <v>5.7373835946068806E-3</v>
      </c>
      <c r="V115" s="13">
        <f t="shared" si="18"/>
        <v>13.678413140844791</v>
      </c>
      <c r="W115" s="12">
        <f t="shared" si="19"/>
        <v>0.25185267094628883</v>
      </c>
      <c r="X115" s="12">
        <f t="shared" si="20"/>
        <v>0</v>
      </c>
      <c r="Y115" s="13">
        <f t="shared" si="21"/>
        <v>1.6091761939049849</v>
      </c>
      <c r="Z115" s="13">
        <f t="shared" si="22"/>
        <v>16.886571161382204</v>
      </c>
      <c r="AA115" s="13">
        <f t="shared" si="23"/>
        <v>964721118.01242232</v>
      </c>
    </row>
    <row r="116" spans="1:27" x14ac:dyDescent="0.25">
      <c r="A116" s="10" t="s">
        <v>175</v>
      </c>
      <c r="B116" s="11">
        <v>388089000</v>
      </c>
      <c r="C116" s="11">
        <v>12623000</v>
      </c>
      <c r="D116" s="11"/>
      <c r="E116" s="11"/>
      <c r="F116" s="11"/>
      <c r="G116" s="11"/>
      <c r="H116" s="11">
        <v>4321921000</v>
      </c>
      <c r="I116" s="11">
        <v>9059627000</v>
      </c>
      <c r="J116" s="11">
        <v>4250500000</v>
      </c>
      <c r="K116" s="11"/>
      <c r="L116" s="11">
        <v>11225973711.559999</v>
      </c>
      <c r="M116" s="11">
        <v>462361000</v>
      </c>
      <c r="N116" s="11">
        <v>3.7</v>
      </c>
      <c r="O116" s="11">
        <v>104899000</v>
      </c>
      <c r="P116" s="12">
        <f t="shared" si="12"/>
        <v>8.979548677544083E-2</v>
      </c>
      <c r="Q116" s="12">
        <f t="shared" si="13"/>
        <v>4.2837194069910385E-2</v>
      </c>
      <c r="R116" s="12">
        <f t="shared" si="14"/>
        <v>30.744593202883625</v>
      </c>
      <c r="S116" s="12">
        <f t="shared" si="15"/>
        <v>0</v>
      </c>
      <c r="T116" s="12">
        <f t="shared" si="16"/>
        <v>0</v>
      </c>
      <c r="U116" s="13" t="str">
        <f t="shared" si="17"/>
        <v/>
      </c>
      <c r="V116" s="13" t="str">
        <f t="shared" si="18"/>
        <v/>
      </c>
      <c r="W116" s="12">
        <f t="shared" si="19"/>
        <v>0</v>
      </c>
      <c r="X116" s="12">
        <f t="shared" si="20"/>
        <v>1.1913787816712147</v>
      </c>
      <c r="Y116" s="13">
        <f t="shared" si="21"/>
        <v>3.699644419870542</v>
      </c>
      <c r="Z116" s="13">
        <f t="shared" si="22"/>
        <v>28.926286783598606</v>
      </c>
      <c r="AA116" s="13">
        <f t="shared" si="23"/>
        <v>104888918.91891891</v>
      </c>
    </row>
    <row r="117" spans="1:27" x14ac:dyDescent="0.25">
      <c r="A117" s="10" t="s">
        <v>176</v>
      </c>
      <c r="B117" s="11">
        <v>3671000000</v>
      </c>
      <c r="C117" s="11">
        <v>32723000000</v>
      </c>
      <c r="D117" s="11">
        <v>13736000000</v>
      </c>
      <c r="E117" s="11">
        <v>5384000000</v>
      </c>
      <c r="F117" s="11">
        <v>7639000000</v>
      </c>
      <c r="G117" s="11">
        <v>2955000000</v>
      </c>
      <c r="H117" s="11">
        <v>22095000000</v>
      </c>
      <c r="I117" s="11">
        <v>58167000000</v>
      </c>
      <c r="J117" s="11">
        <v>18438000000</v>
      </c>
      <c r="K117" s="11"/>
      <c r="L117" s="11">
        <v>69733374949.600006</v>
      </c>
      <c r="M117" s="11">
        <v>930000000</v>
      </c>
      <c r="N117" s="11">
        <v>5.49</v>
      </c>
      <c r="O117" s="11">
        <v>668500000</v>
      </c>
      <c r="P117" s="12">
        <f t="shared" si="12"/>
        <v>0.16614618692011768</v>
      </c>
      <c r="Q117" s="12">
        <f t="shared" si="13"/>
        <v>6.3111386181168017E-2</v>
      </c>
      <c r="R117" s="12">
        <f t="shared" si="14"/>
        <v>0.11218409070073038</v>
      </c>
      <c r="S117" s="12">
        <f t="shared" si="15"/>
        <v>0.16453259175503468</v>
      </c>
      <c r="T117" s="12">
        <f t="shared" si="16"/>
        <v>0.41976591388320139</v>
      </c>
      <c r="U117" s="13">
        <f t="shared" si="17"/>
        <v>2.4136667103023957</v>
      </c>
      <c r="V117" s="13">
        <f t="shared" si="18"/>
        <v>11.5422666513418</v>
      </c>
      <c r="W117" s="12">
        <f t="shared" si="19"/>
        <v>7.2903560062171566E-2</v>
      </c>
      <c r="X117" s="12">
        <f t="shared" si="20"/>
        <v>0.25333696540452194</v>
      </c>
      <c r="Y117" s="13">
        <f t="shared" si="21"/>
        <v>5.4913986537023183</v>
      </c>
      <c r="Z117" s="13">
        <f t="shared" si="22"/>
        <v>18.995743652846638</v>
      </c>
      <c r="AA117" s="13">
        <f t="shared" si="23"/>
        <v>668670309.65391624</v>
      </c>
    </row>
    <row r="118" spans="1:27" x14ac:dyDescent="0.25">
      <c r="A118" s="10" t="s">
        <v>177</v>
      </c>
      <c r="B118" s="11">
        <v>-184650000</v>
      </c>
      <c r="C118" s="11">
        <v>4027044000</v>
      </c>
      <c r="D118" s="11"/>
      <c r="E118" s="11">
        <v>70390000</v>
      </c>
      <c r="F118" s="11">
        <v>420489000</v>
      </c>
      <c r="G118" s="11">
        <v>391290000</v>
      </c>
      <c r="H118" s="11">
        <v>3067465000</v>
      </c>
      <c r="I118" s="11">
        <v>7730308000</v>
      </c>
      <c r="J118" s="11"/>
      <c r="K118" s="11"/>
      <c r="L118" s="11">
        <v>11251982021.99</v>
      </c>
      <c r="M118" s="11"/>
      <c r="N118" s="11">
        <v>-3.77</v>
      </c>
      <c r="O118" s="11">
        <v>48951000</v>
      </c>
      <c r="P118" s="12">
        <f t="shared" si="12"/>
        <v>-6.0196285858192353E-2</v>
      </c>
      <c r="Q118" s="12">
        <f t="shared" si="13"/>
        <v>-2.3886499735844936E-2</v>
      </c>
      <c r="R118" s="12">
        <f t="shared" si="14"/>
        <v>-4.5852491306278255E-2</v>
      </c>
      <c r="S118" s="12">
        <f t="shared" si="15"/>
        <v>1.747932230191674E-2</v>
      </c>
      <c r="T118" s="12">
        <f t="shared" si="16"/>
        <v>0</v>
      </c>
      <c r="U118" s="13">
        <f t="shared" si="17"/>
        <v>0</v>
      </c>
      <c r="V118" s="13">
        <f t="shared" si="18"/>
        <v>26.759277940659565</v>
      </c>
      <c r="W118" s="12">
        <f t="shared" si="19"/>
        <v>0.12756135766830265</v>
      </c>
      <c r="X118" s="12">
        <f t="shared" si="20"/>
        <v>0</v>
      </c>
      <c r="Y118" s="13">
        <f t="shared" si="21"/>
        <v>-3.7721394864252007</v>
      </c>
      <c r="Z118" s="13">
        <f t="shared" si="22"/>
        <v>-60.936810300514487</v>
      </c>
      <c r="AA118" s="13">
        <f t="shared" si="23"/>
        <v>48978779.840848804</v>
      </c>
    </row>
    <row r="119" spans="1:27" x14ac:dyDescent="0.25">
      <c r="A119" s="10" t="s">
        <v>178</v>
      </c>
      <c r="B119" s="11">
        <v>8023000000</v>
      </c>
      <c r="C119" s="11">
        <v>42829000000</v>
      </c>
      <c r="D119" s="11">
        <v>33254000000</v>
      </c>
      <c r="E119" s="11">
        <v>8736000000</v>
      </c>
      <c r="F119" s="11">
        <v>9936000000</v>
      </c>
      <c r="G119" s="11">
        <v>14661000000</v>
      </c>
      <c r="H119" s="11">
        <v>47450500000</v>
      </c>
      <c r="I119" s="11">
        <v>106680000000</v>
      </c>
      <c r="J119" s="11">
        <v>39280000000</v>
      </c>
      <c r="K119" s="11"/>
      <c r="L119" s="11">
        <v>133087500000</v>
      </c>
      <c r="M119" s="11">
        <v>1550000000</v>
      </c>
      <c r="N119" s="11">
        <v>9.2100000000000009</v>
      </c>
      <c r="O119" s="11">
        <v>871000000</v>
      </c>
      <c r="P119" s="12">
        <f t="shared" si="12"/>
        <v>0.16908146384126616</v>
      </c>
      <c r="Q119" s="12">
        <f t="shared" si="13"/>
        <v>7.5206224221972248E-2</v>
      </c>
      <c r="R119" s="12">
        <f t="shared" si="14"/>
        <v>0.1873263442994233</v>
      </c>
      <c r="S119" s="12">
        <f t="shared" si="15"/>
        <v>0.20397394288916387</v>
      </c>
      <c r="T119" s="12">
        <f t="shared" si="16"/>
        <v>0.77643652665250185</v>
      </c>
      <c r="U119" s="13">
        <f t="shared" si="17"/>
        <v>3.9533011272141705</v>
      </c>
      <c r="V119" s="13">
        <f t="shared" si="18"/>
        <v>17.347775764895331</v>
      </c>
      <c r="W119" s="12">
        <f t="shared" si="19"/>
        <v>0.16904087950605612</v>
      </c>
      <c r="X119" s="12">
        <f t="shared" si="20"/>
        <v>0.19319456562383147</v>
      </c>
      <c r="Y119" s="13">
        <f t="shared" si="21"/>
        <v>9.2112514351320325</v>
      </c>
      <c r="Z119" s="13">
        <f t="shared" si="22"/>
        <v>16.588246291910757</v>
      </c>
      <c r="AA119" s="13">
        <f t="shared" si="23"/>
        <v>871118349.61997819</v>
      </c>
    </row>
    <row r="120" spans="1:27" x14ac:dyDescent="0.25">
      <c r="A120" s="10" t="s">
        <v>179</v>
      </c>
      <c r="B120" s="11">
        <v>-24521000</v>
      </c>
      <c r="C120" s="11"/>
      <c r="D120" s="11"/>
      <c r="E120" s="11"/>
      <c r="F120" s="11"/>
      <c r="G120" s="11">
        <v>1505198000</v>
      </c>
      <c r="H120" s="11">
        <v>4042377000</v>
      </c>
      <c r="I120" s="11">
        <v>11270100000</v>
      </c>
      <c r="J120" s="11">
        <v>745843000</v>
      </c>
      <c r="K120" s="11"/>
      <c r="L120" s="11">
        <v>202022634937.04001</v>
      </c>
      <c r="M120" s="11"/>
      <c r="N120" s="11">
        <v>-0.1</v>
      </c>
      <c r="O120" s="11">
        <v>257881000</v>
      </c>
      <c r="P120" s="12">
        <f t="shared" si="12"/>
        <v>-6.0659854338177763E-3</v>
      </c>
      <c r="Q120" s="12">
        <f t="shared" si="13"/>
        <v>-2.1757570917738086E-3</v>
      </c>
      <c r="R120" s="12" t="str">
        <f t="shared" si="14"/>
        <v/>
      </c>
      <c r="S120" s="12" t="str">
        <f t="shared" si="15"/>
        <v/>
      </c>
      <c r="T120" s="12" t="str">
        <f t="shared" si="16"/>
        <v/>
      </c>
      <c r="U120" s="13" t="str">
        <f t="shared" si="17"/>
        <v/>
      </c>
      <c r="V120" s="13" t="str">
        <f t="shared" si="18"/>
        <v/>
      </c>
      <c r="W120" s="12">
        <f t="shared" si="19"/>
        <v>0.31435439474376697</v>
      </c>
      <c r="X120" s="12">
        <f t="shared" si="20"/>
        <v>0</v>
      </c>
      <c r="Y120" s="13">
        <f t="shared" si="21"/>
        <v>-9.5086493382606704E-2</v>
      </c>
      <c r="Z120" s="13">
        <f t="shared" si="22"/>
        <v>-8238.7600398450304</v>
      </c>
      <c r="AA120" s="13">
        <f t="shared" si="23"/>
        <v>245210000</v>
      </c>
    </row>
    <row r="121" spans="1:27" x14ac:dyDescent="0.25">
      <c r="A121" s="10" t="s">
        <v>180</v>
      </c>
      <c r="B121" s="11">
        <v>11958000000</v>
      </c>
      <c r="C121" s="11">
        <v>60746000000</v>
      </c>
      <c r="D121" s="11">
        <v>39077000000</v>
      </c>
      <c r="E121" s="11">
        <v>14191000000</v>
      </c>
      <c r="F121" s="11">
        <v>14891000000</v>
      </c>
      <c r="G121" s="11">
        <v>11788000000</v>
      </c>
      <c r="H121" s="11">
        <v>47398000000</v>
      </c>
      <c r="I121" s="11">
        <v>125546000000</v>
      </c>
      <c r="J121" s="11">
        <v>22869000000</v>
      </c>
      <c r="K121" s="11"/>
      <c r="L121" s="11">
        <v>466311125593.51001</v>
      </c>
      <c r="M121" s="11">
        <v>6519000000</v>
      </c>
      <c r="N121" s="11">
        <v>3</v>
      </c>
      <c r="O121" s="11">
        <v>3987000000</v>
      </c>
      <c r="P121" s="12">
        <f t="shared" si="12"/>
        <v>0.2522891261234651</v>
      </c>
      <c r="Q121" s="12">
        <f t="shared" si="13"/>
        <v>9.5247956924155289E-2</v>
      </c>
      <c r="R121" s="12">
        <f t="shared" si="14"/>
        <v>0.19685246765219108</v>
      </c>
      <c r="S121" s="12">
        <f t="shared" si="15"/>
        <v>0.23361208968491753</v>
      </c>
      <c r="T121" s="12">
        <f t="shared" si="16"/>
        <v>0.64328515457807922</v>
      </c>
      <c r="U121" s="13">
        <f t="shared" si="17"/>
        <v>1.5357598549459406</v>
      </c>
      <c r="V121" s="13">
        <f t="shared" si="18"/>
        <v>32.850723631288027</v>
      </c>
      <c r="W121" s="12">
        <f t="shared" si="19"/>
        <v>0.16776011498996685</v>
      </c>
      <c r="X121" s="12">
        <f t="shared" si="20"/>
        <v>0.54515805318615151</v>
      </c>
      <c r="Y121" s="13">
        <f t="shared" si="21"/>
        <v>2.9992475545522947</v>
      </c>
      <c r="Z121" s="13">
        <f t="shared" si="22"/>
        <v>38.995745575640576</v>
      </c>
      <c r="AA121" s="13">
        <f t="shared" si="23"/>
        <v>3986000000</v>
      </c>
    </row>
    <row r="122" spans="1:27" x14ac:dyDescent="0.25">
      <c r="A122" s="10" t="s">
        <v>181</v>
      </c>
      <c r="B122" s="11">
        <v>24800000</v>
      </c>
      <c r="C122" s="11">
        <v>3411800000</v>
      </c>
      <c r="D122" s="11">
        <v>2683100000</v>
      </c>
      <c r="E122" s="11">
        <v>-26200000</v>
      </c>
      <c r="F122" s="11">
        <v>271500000</v>
      </c>
      <c r="G122" s="11">
        <v>230500000</v>
      </c>
      <c r="H122" s="11">
        <v>8234600000</v>
      </c>
      <c r="I122" s="11">
        <v>10164000000</v>
      </c>
      <c r="J122" s="11">
        <v>1000000000</v>
      </c>
      <c r="K122" s="11"/>
      <c r="L122" s="11">
        <v>11919903538.940001</v>
      </c>
      <c r="M122" s="11"/>
      <c r="N122" s="11">
        <v>0.06</v>
      </c>
      <c r="O122" s="11">
        <v>414000000</v>
      </c>
      <c r="P122" s="12">
        <f t="shared" si="12"/>
        <v>3.0116824132319724E-3</v>
      </c>
      <c r="Q122" s="12">
        <f t="shared" si="13"/>
        <v>2.4399842581660763E-3</v>
      </c>
      <c r="R122" s="12">
        <f t="shared" si="14"/>
        <v>7.2688903218242574E-3</v>
      </c>
      <c r="S122" s="12">
        <f t="shared" si="15"/>
        <v>-7.6792309045078848E-3</v>
      </c>
      <c r="T122" s="12">
        <f t="shared" si="16"/>
        <v>0.78641772671317189</v>
      </c>
      <c r="U122" s="13">
        <f t="shared" si="17"/>
        <v>3.6832412523020257</v>
      </c>
      <c r="V122" s="13">
        <f t="shared" si="18"/>
        <v>47.587121690386745</v>
      </c>
      <c r="W122" s="12">
        <f t="shared" si="19"/>
        <v>2.496047473631776E-2</v>
      </c>
      <c r="X122" s="12">
        <f t="shared" si="20"/>
        <v>0</v>
      </c>
      <c r="Y122" s="13">
        <f t="shared" si="21"/>
        <v>5.9903381642512077E-2</v>
      </c>
      <c r="Z122" s="13">
        <f t="shared" si="22"/>
        <v>480.64127173145164</v>
      </c>
      <c r="AA122" s="13">
        <f t="shared" si="23"/>
        <v>413333333.33333337</v>
      </c>
    </row>
    <row r="123" spans="1:27" x14ac:dyDescent="0.25">
      <c r="A123" s="10" t="s">
        <v>182</v>
      </c>
      <c r="B123" s="11">
        <v>3050000000</v>
      </c>
      <c r="C123" s="11">
        <v>14151000000</v>
      </c>
      <c r="D123" s="11"/>
      <c r="E123" s="11">
        <v>4733000000</v>
      </c>
      <c r="F123" s="11">
        <v>6403000000</v>
      </c>
      <c r="G123" s="11">
        <v>1904000000</v>
      </c>
      <c r="H123" s="11"/>
      <c r="I123" s="11">
        <v>44232000000</v>
      </c>
      <c r="J123" s="11"/>
      <c r="K123" s="11"/>
      <c r="L123" s="11">
        <v>91699149708.309998</v>
      </c>
      <c r="M123" s="11">
        <v>987000000</v>
      </c>
      <c r="N123" s="11">
        <v>1.64</v>
      </c>
      <c r="O123" s="11">
        <v>1862000000</v>
      </c>
      <c r="P123" s="12" t="str">
        <f t="shared" si="12"/>
        <v/>
      </c>
      <c r="Q123" s="12">
        <f t="shared" si="13"/>
        <v>6.8954603002351234E-2</v>
      </c>
      <c r="R123" s="12">
        <f t="shared" si="14"/>
        <v>0.21553247120344851</v>
      </c>
      <c r="S123" s="12">
        <f t="shared" si="15"/>
        <v>0.33446399547735145</v>
      </c>
      <c r="T123" s="12">
        <f t="shared" si="16"/>
        <v>0</v>
      </c>
      <c r="U123" s="13">
        <f t="shared" si="17"/>
        <v>0</v>
      </c>
      <c r="V123" s="13">
        <f t="shared" si="18"/>
        <v>14.321279042372325</v>
      </c>
      <c r="W123" s="12" t="str">
        <f t="shared" si="19"/>
        <v/>
      </c>
      <c r="X123" s="12">
        <f t="shared" si="20"/>
        <v>0.32360655737704919</v>
      </c>
      <c r="Y123" s="13">
        <f t="shared" si="21"/>
        <v>1.6380236305048335</v>
      </c>
      <c r="Z123" s="13">
        <f t="shared" si="22"/>
        <v>30.065294986331146</v>
      </c>
      <c r="AA123" s="13">
        <f t="shared" si="23"/>
        <v>1859756097.5609758</v>
      </c>
    </row>
    <row r="124" spans="1:27" x14ac:dyDescent="0.25">
      <c r="A124" s="10" t="s">
        <v>183</v>
      </c>
      <c r="B124" s="11">
        <v>1937235000</v>
      </c>
      <c r="C124" s="11">
        <v>11027210000</v>
      </c>
      <c r="D124" s="11">
        <v>5553491000</v>
      </c>
      <c r="E124" s="11">
        <v>2530929000</v>
      </c>
      <c r="F124" s="11">
        <v>3039495000</v>
      </c>
      <c r="G124" s="11">
        <v>1789194000</v>
      </c>
      <c r="H124" s="11">
        <v>4690315500</v>
      </c>
      <c r="I124" s="11">
        <v>10233721000</v>
      </c>
      <c r="J124" s="11">
        <v>2427301000</v>
      </c>
      <c r="K124" s="11"/>
      <c r="L124" s="11">
        <v>71100323361.789993</v>
      </c>
      <c r="M124" s="11">
        <v>678774000</v>
      </c>
      <c r="N124" s="11">
        <v>4.76</v>
      </c>
      <c r="O124" s="11">
        <v>406836000</v>
      </c>
      <c r="P124" s="12">
        <f t="shared" si="12"/>
        <v>0.41302871843056188</v>
      </c>
      <c r="Q124" s="12">
        <f t="shared" si="13"/>
        <v>0.18929918062061687</v>
      </c>
      <c r="R124" s="12">
        <f t="shared" si="14"/>
        <v>0.17567770995564608</v>
      </c>
      <c r="S124" s="12">
        <f t="shared" si="15"/>
        <v>0.22951671365649154</v>
      </c>
      <c r="T124" s="12">
        <f t="shared" si="16"/>
        <v>0.50361705272684565</v>
      </c>
      <c r="U124" s="13">
        <f t="shared" si="17"/>
        <v>0.79858693631672362</v>
      </c>
      <c r="V124" s="13">
        <f t="shared" si="18"/>
        <v>24.190737067108184</v>
      </c>
      <c r="W124" s="12">
        <f t="shared" si="19"/>
        <v>0.25137544288878166</v>
      </c>
      <c r="X124" s="12">
        <f t="shared" si="20"/>
        <v>0.35038289107929599</v>
      </c>
      <c r="Y124" s="13">
        <f t="shared" si="21"/>
        <v>4.7617098781818719</v>
      </c>
      <c r="Z124" s="13">
        <f t="shared" si="22"/>
        <v>36.701960971069589</v>
      </c>
      <c r="AA124" s="13">
        <f t="shared" si="23"/>
        <v>406982142.85714287</v>
      </c>
    </row>
    <row r="125" spans="1:27" x14ac:dyDescent="0.25">
      <c r="A125" s="10" t="s">
        <v>184</v>
      </c>
      <c r="B125" s="11">
        <v>2229000000</v>
      </c>
      <c r="C125" s="11">
        <v>21406000000</v>
      </c>
      <c r="D125" s="11"/>
      <c r="E125" s="11">
        <v>3379000000</v>
      </c>
      <c r="F125" s="11">
        <v>3934000000</v>
      </c>
      <c r="G125" s="11">
        <v>2470000000</v>
      </c>
      <c r="H125" s="11">
        <v>14983500000</v>
      </c>
      <c r="I125" s="11">
        <v>20500000000</v>
      </c>
      <c r="J125" s="11">
        <v>535000000</v>
      </c>
      <c r="K125" s="11"/>
      <c r="L125" s="11">
        <v>20528200721.740002</v>
      </c>
      <c r="M125" s="11">
        <v>614000000</v>
      </c>
      <c r="N125" s="11">
        <v>4.67</v>
      </c>
      <c r="O125" s="11">
        <v>477000000</v>
      </c>
      <c r="P125" s="12">
        <f t="shared" si="12"/>
        <v>0.14876364000400441</v>
      </c>
      <c r="Q125" s="12">
        <f t="shared" si="13"/>
        <v>0.10873170731707317</v>
      </c>
      <c r="R125" s="12">
        <f t="shared" si="14"/>
        <v>0.10412968326637391</v>
      </c>
      <c r="S125" s="12">
        <f t="shared" si="15"/>
        <v>0.157852938428478</v>
      </c>
      <c r="T125" s="12">
        <f t="shared" si="16"/>
        <v>0</v>
      </c>
      <c r="U125" s="13">
        <f t="shared" si="17"/>
        <v>0.13599389933909506</v>
      </c>
      <c r="V125" s="13">
        <f t="shared" si="18"/>
        <v>5.3541435489933917</v>
      </c>
      <c r="W125" s="12">
        <f t="shared" si="19"/>
        <v>0.15916486773850566</v>
      </c>
      <c r="X125" s="12">
        <f t="shared" si="20"/>
        <v>0.27545984746523106</v>
      </c>
      <c r="Y125" s="13">
        <f t="shared" si="21"/>
        <v>4.6729559748427674</v>
      </c>
      <c r="Z125" s="13">
        <f t="shared" si="22"/>
        <v>9.2096010416061027</v>
      </c>
      <c r="AA125" s="13">
        <f t="shared" si="23"/>
        <v>477301927.19486082</v>
      </c>
    </row>
    <row r="126" spans="1:27" x14ac:dyDescent="0.25">
      <c r="A126" s="10" t="s">
        <v>185</v>
      </c>
      <c r="B126" s="11">
        <v>1162000000</v>
      </c>
      <c r="C126" s="11">
        <v>17889000000</v>
      </c>
      <c r="D126" s="11"/>
      <c r="E126" s="11"/>
      <c r="F126" s="11"/>
      <c r="G126" s="11">
        <v>2046000000</v>
      </c>
      <c r="H126" s="11">
        <v>24323500000</v>
      </c>
      <c r="I126" s="11">
        <v>42717000000</v>
      </c>
      <c r="J126" s="11"/>
      <c r="K126" s="11"/>
      <c r="L126" s="11">
        <v>56087245608.220001</v>
      </c>
      <c r="M126" s="11">
        <v>480000000</v>
      </c>
      <c r="N126" s="11">
        <v>1.73</v>
      </c>
      <c r="O126" s="11">
        <v>673600000</v>
      </c>
      <c r="P126" s="12">
        <f t="shared" si="12"/>
        <v>4.7772730075852574E-2</v>
      </c>
      <c r="Q126" s="12">
        <f t="shared" si="13"/>
        <v>2.7202284804644521E-2</v>
      </c>
      <c r="R126" s="12">
        <f t="shared" si="14"/>
        <v>6.4956118284979603E-2</v>
      </c>
      <c r="S126" s="12">
        <f t="shared" si="15"/>
        <v>0</v>
      </c>
      <c r="T126" s="12">
        <f t="shared" si="16"/>
        <v>0</v>
      </c>
      <c r="U126" s="13" t="str">
        <f t="shared" si="17"/>
        <v/>
      </c>
      <c r="V126" s="13" t="str">
        <f t="shared" si="18"/>
        <v/>
      </c>
      <c r="W126" s="12">
        <f t="shared" si="19"/>
        <v>8.4116183937344546E-2</v>
      </c>
      <c r="X126" s="12">
        <f t="shared" si="20"/>
        <v>0.41308089500860584</v>
      </c>
      <c r="Y126" s="13">
        <f t="shared" si="21"/>
        <v>1.7250593824228029</v>
      </c>
      <c r="Z126" s="13">
        <f t="shared" si="22"/>
        <v>48.267853363356281</v>
      </c>
      <c r="AA126" s="13">
        <f t="shared" si="23"/>
        <v>671676300.57803464</v>
      </c>
    </row>
    <row r="127" spans="1:27" x14ac:dyDescent="0.25">
      <c r="A127" s="10" t="s">
        <v>186</v>
      </c>
      <c r="B127" s="11">
        <v>1441000000</v>
      </c>
      <c r="C127" s="11">
        <v>22522000000</v>
      </c>
      <c r="D127" s="11">
        <v>4534000000</v>
      </c>
      <c r="E127" s="11">
        <v>2068000000</v>
      </c>
      <c r="F127" s="11"/>
      <c r="G127" s="11">
        <v>740000000</v>
      </c>
      <c r="H127" s="11">
        <v>2612000000</v>
      </c>
      <c r="I127" s="11">
        <v>13771000000</v>
      </c>
      <c r="J127" s="11">
        <v>4918000000</v>
      </c>
      <c r="K127" s="11"/>
      <c r="L127" s="11">
        <v>48077278368.540001</v>
      </c>
      <c r="M127" s="11"/>
      <c r="N127" s="11">
        <v>6.43</v>
      </c>
      <c r="O127" s="11">
        <v>224277000</v>
      </c>
      <c r="P127" s="12">
        <f t="shared" si="12"/>
        <v>0.55168453292496167</v>
      </c>
      <c r="Q127" s="12">
        <f t="shared" si="13"/>
        <v>0.10464018589790139</v>
      </c>
      <c r="R127" s="12">
        <f t="shared" si="14"/>
        <v>6.3981884379717607E-2</v>
      </c>
      <c r="S127" s="12">
        <f t="shared" si="15"/>
        <v>9.1821330254861916E-2</v>
      </c>
      <c r="T127" s="12">
        <f t="shared" si="16"/>
        <v>0.20131427049107539</v>
      </c>
      <c r="U127" s="13" t="str">
        <f t="shared" si="17"/>
        <v/>
      </c>
      <c r="V127" s="13" t="str">
        <f t="shared" si="18"/>
        <v/>
      </c>
      <c r="W127" s="12">
        <f t="shared" si="19"/>
        <v>9.8273572377158031E-2</v>
      </c>
      <c r="X127" s="12">
        <f t="shared" si="20"/>
        <v>0</v>
      </c>
      <c r="Y127" s="13">
        <f t="shared" si="21"/>
        <v>6.4250904016015911</v>
      </c>
      <c r="Z127" s="13">
        <f t="shared" si="22"/>
        <v>33.363829540971551</v>
      </c>
      <c r="AA127" s="13">
        <f t="shared" si="23"/>
        <v>224105754.27682739</v>
      </c>
    </row>
    <row r="128" spans="1:27" x14ac:dyDescent="0.25">
      <c r="A128" s="10" t="s">
        <v>187</v>
      </c>
      <c r="B128" s="11">
        <v>2932000000</v>
      </c>
      <c r="C128" s="11">
        <v>407905000000</v>
      </c>
      <c r="D128" s="11"/>
      <c r="E128" s="11">
        <v>5966000000</v>
      </c>
      <c r="F128" s="11">
        <v>10533000000</v>
      </c>
      <c r="G128" s="11">
        <v>7394000000</v>
      </c>
      <c r="H128" s="11">
        <v>77192500000</v>
      </c>
      <c r="I128" s="11">
        <v>252974000000</v>
      </c>
      <c r="J128" s="11"/>
      <c r="K128" s="11"/>
      <c r="L128" s="11">
        <v>131178083317.61</v>
      </c>
      <c r="M128" s="11">
        <v>3404000000</v>
      </c>
      <c r="N128" s="11">
        <v>2.29</v>
      </c>
      <c r="O128" s="11">
        <v>1279000000</v>
      </c>
      <c r="P128" s="12">
        <f t="shared" si="12"/>
        <v>3.798296466625644E-2</v>
      </c>
      <c r="Q128" s="12">
        <f t="shared" si="13"/>
        <v>1.1590123886249179E-2</v>
      </c>
      <c r="R128" s="12">
        <f t="shared" si="14"/>
        <v>7.1879481742072298E-3</v>
      </c>
      <c r="S128" s="12">
        <f t="shared" si="15"/>
        <v>1.462595457275591E-2</v>
      </c>
      <c r="T128" s="12">
        <f t="shared" si="16"/>
        <v>0</v>
      </c>
      <c r="U128" s="13">
        <f t="shared" si="17"/>
        <v>0</v>
      </c>
      <c r="V128" s="13">
        <f t="shared" si="18"/>
        <v>12.454009619064843</v>
      </c>
      <c r="W128" s="12">
        <f t="shared" si="19"/>
        <v>9.5786507756582567E-2</v>
      </c>
      <c r="X128" s="12">
        <f t="shared" si="20"/>
        <v>1.1609822646657573</v>
      </c>
      <c r="Y128" s="13">
        <f t="shared" si="21"/>
        <v>2.2924159499609069</v>
      </c>
      <c r="Z128" s="13">
        <f t="shared" si="22"/>
        <v>44.74013755716576</v>
      </c>
      <c r="AA128" s="13">
        <f t="shared" si="23"/>
        <v>1280349344.9781659</v>
      </c>
    </row>
    <row r="129" spans="1:27" x14ac:dyDescent="0.25">
      <c r="A129" s="10" t="s">
        <v>188</v>
      </c>
      <c r="B129" s="11">
        <v>11009000000</v>
      </c>
      <c r="C129" s="11">
        <v>190028000000</v>
      </c>
      <c r="D129" s="11"/>
      <c r="E129" s="11"/>
      <c r="F129" s="11"/>
      <c r="G129" s="11">
        <v>13781000000</v>
      </c>
      <c r="H129" s="11">
        <v>166479500000</v>
      </c>
      <c r="I129" s="11">
        <v>329551000000</v>
      </c>
      <c r="J129" s="11">
        <v>25676000000</v>
      </c>
      <c r="K129" s="11"/>
      <c r="L129" s="11">
        <v>346637591332.46997</v>
      </c>
      <c r="M129" s="11">
        <v>13293000000</v>
      </c>
      <c r="N129" s="11">
        <v>5.54</v>
      </c>
      <c r="O129" s="11">
        <v>1985900000</v>
      </c>
      <c r="P129" s="12">
        <f t="shared" si="12"/>
        <v>6.6128262038268978E-2</v>
      </c>
      <c r="Q129" s="12">
        <f t="shared" si="13"/>
        <v>3.3406058546325154E-2</v>
      </c>
      <c r="R129" s="12">
        <f t="shared" si="14"/>
        <v>5.7933567684762245E-2</v>
      </c>
      <c r="S129" s="12">
        <f t="shared" si="15"/>
        <v>0</v>
      </c>
      <c r="T129" s="12">
        <f t="shared" si="16"/>
        <v>0</v>
      </c>
      <c r="U129" s="13" t="str">
        <f t="shared" si="17"/>
        <v/>
      </c>
      <c r="V129" s="13" t="str">
        <f t="shared" si="18"/>
        <v/>
      </c>
      <c r="W129" s="12">
        <f t="shared" si="19"/>
        <v>7.1717957591638029E-2</v>
      </c>
      <c r="X129" s="12">
        <f t="shared" si="20"/>
        <v>1.2074666182214551</v>
      </c>
      <c r="Y129" s="13">
        <f t="shared" si="21"/>
        <v>5.5435822548970242</v>
      </c>
      <c r="Z129" s="13">
        <f t="shared" si="22"/>
        <v>31.486746419517665</v>
      </c>
      <c r="AA129" s="13">
        <f t="shared" si="23"/>
        <v>1987184115.5234656</v>
      </c>
    </row>
    <row r="130" spans="1:27" x14ac:dyDescent="0.25">
      <c r="A130" s="10" t="s">
        <v>189</v>
      </c>
      <c r="B130" s="11">
        <v>2973000000</v>
      </c>
      <c r="C130" s="11">
        <v>17449000000</v>
      </c>
      <c r="D130" s="11"/>
      <c r="E130" s="11">
        <v>4583000000</v>
      </c>
      <c r="F130" s="11">
        <v>7163000000</v>
      </c>
      <c r="G130" s="11"/>
      <c r="H130" s="11">
        <v>28256000000</v>
      </c>
      <c r="I130" s="11">
        <v>118578000000</v>
      </c>
      <c r="J130" s="11">
        <v>46332000000</v>
      </c>
      <c r="K130" s="11"/>
      <c r="L130" s="11">
        <v>61082139329.739998</v>
      </c>
      <c r="M130" s="11">
        <v>2296000000</v>
      </c>
      <c r="N130" s="11">
        <v>3.38</v>
      </c>
      <c r="O130" s="11">
        <v>880100000</v>
      </c>
      <c r="P130" s="12">
        <f t="shared" si="12"/>
        <v>0.10521659116647791</v>
      </c>
      <c r="Q130" s="12">
        <f t="shared" si="13"/>
        <v>2.5072104437585386E-2</v>
      </c>
      <c r="R130" s="12">
        <f t="shared" si="14"/>
        <v>0.17038225686285746</v>
      </c>
      <c r="S130" s="12">
        <f t="shared" si="15"/>
        <v>0.262651154793971</v>
      </c>
      <c r="T130" s="12">
        <f t="shared" si="16"/>
        <v>0</v>
      </c>
      <c r="U130" s="13">
        <f t="shared" si="17"/>
        <v>6.4682395644283117</v>
      </c>
      <c r="V130" s="13">
        <f t="shared" si="18"/>
        <v>14.995691655694539</v>
      </c>
      <c r="W130" s="12">
        <f t="shared" si="19"/>
        <v>0</v>
      </c>
      <c r="X130" s="12">
        <f t="shared" si="20"/>
        <v>0.77228388832828787</v>
      </c>
      <c r="Y130" s="13">
        <f t="shared" si="21"/>
        <v>3.3780252244063176</v>
      </c>
      <c r="Z130" s="13">
        <f t="shared" si="22"/>
        <v>20.54562372342415</v>
      </c>
      <c r="AA130" s="13">
        <f t="shared" si="23"/>
        <v>879585798.81656802</v>
      </c>
    </row>
    <row r="131" spans="1:27" x14ac:dyDescent="0.25">
      <c r="A131" s="10" t="s">
        <v>190</v>
      </c>
      <c r="B131" s="11">
        <v>4476000000</v>
      </c>
      <c r="C131" s="11">
        <v>65178000000</v>
      </c>
      <c r="D131" s="11"/>
      <c r="E131" s="11">
        <v>5754000000</v>
      </c>
      <c r="F131" s="11">
        <v>8225000000</v>
      </c>
      <c r="G131" s="11">
        <v>3921000000</v>
      </c>
      <c r="H131" s="11">
        <v>17911500000</v>
      </c>
      <c r="I131" s="11">
        <v>84431000000</v>
      </c>
      <c r="J131" s="11">
        <v>13235000000</v>
      </c>
      <c r="K131" s="11"/>
      <c r="L131" s="11">
        <v>58472496260</v>
      </c>
      <c r="M131" s="11">
        <v>470000000</v>
      </c>
      <c r="N131" s="11">
        <v>6.87</v>
      </c>
      <c r="O131" s="11">
        <v>652000000</v>
      </c>
      <c r="P131" s="12">
        <f t="shared" ref="P131:P194" si="24">IFERROR(B131/H131,"")</f>
        <v>0.24989531865002931</v>
      </c>
      <c r="Q131" s="12">
        <f t="shared" ref="Q131:Q194" si="25">IFERROR(B131/I131,"")</f>
        <v>5.3013703497530526E-2</v>
      </c>
      <c r="R131" s="12">
        <f t="shared" ref="R131:R194" si="26">IFERROR(B131/C131,"")</f>
        <v>6.8673478781183836E-2</v>
      </c>
      <c r="S131" s="12">
        <f t="shared" ref="S131:S194" si="27">IFERROR(E131/C131,"")</f>
        <v>8.8281321918438738E-2</v>
      </c>
      <c r="T131" s="12">
        <f t="shared" ref="T131:T194" si="28">IFERROR(D131/C131,"")</f>
        <v>0</v>
      </c>
      <c r="U131" s="13">
        <f t="shared" ref="U131:U194" si="29">IFERROR(J131/F131,"")</f>
        <v>1.6091185410334345</v>
      </c>
      <c r="V131" s="13">
        <f t="shared" ref="V131:V194" si="30">IFERROR((L131+J131-K131)/F131,"")</f>
        <v>8.7182366273556227</v>
      </c>
      <c r="W131" s="12">
        <f t="shared" ref="W131:W194" si="31">IFERROR(G131/(J131+H131),"")</f>
        <v>0.12588894418313454</v>
      </c>
      <c r="X131" s="12">
        <f t="shared" ref="X131:X194" si="32">IFERROR(M131/B131,"")</f>
        <v>0.10500446827524576</v>
      </c>
      <c r="Y131" s="13">
        <f t="shared" ref="Y131:Y194" si="33">IFERROR(B131/O131,"")</f>
        <v>6.8650306748466257</v>
      </c>
      <c r="Z131" s="13">
        <f t="shared" ref="Z131:Z194" si="34">IFERROR(L131/B131,"")</f>
        <v>13.063560379803397</v>
      </c>
      <c r="AA131" s="13">
        <f t="shared" ref="AA131:AA194" si="35">IFERROR(B131/N131,"")</f>
        <v>651528384.27947593</v>
      </c>
    </row>
    <row r="132" spans="1:27" x14ac:dyDescent="0.25">
      <c r="A132" s="10" t="s">
        <v>191</v>
      </c>
      <c r="B132" s="11">
        <v>926000000</v>
      </c>
      <c r="C132" s="11">
        <v>14721000000</v>
      </c>
      <c r="D132" s="11"/>
      <c r="E132" s="11">
        <v>719000000</v>
      </c>
      <c r="F132" s="11">
        <v>1583000000</v>
      </c>
      <c r="G132" s="11">
        <v>2150000000</v>
      </c>
      <c r="H132" s="11">
        <v>9293500000</v>
      </c>
      <c r="I132" s="11">
        <v>19711000000</v>
      </c>
      <c r="J132" s="11"/>
      <c r="K132" s="11"/>
      <c r="L132" s="11">
        <v>83810498836.119995</v>
      </c>
      <c r="M132" s="11"/>
      <c r="N132" s="11">
        <v>2.09</v>
      </c>
      <c r="O132" s="11">
        <v>442326000</v>
      </c>
      <c r="P132" s="12">
        <f t="shared" si="24"/>
        <v>9.963953300694034E-2</v>
      </c>
      <c r="Q132" s="12">
        <f t="shared" si="25"/>
        <v>4.6978844300136977E-2</v>
      </c>
      <c r="R132" s="12">
        <f t="shared" si="26"/>
        <v>6.2903335371238364E-2</v>
      </c>
      <c r="S132" s="12">
        <f t="shared" si="27"/>
        <v>4.8841790639222879E-2</v>
      </c>
      <c r="T132" s="12">
        <f t="shared" si="28"/>
        <v>0</v>
      </c>
      <c r="U132" s="13">
        <f t="shared" si="29"/>
        <v>0</v>
      </c>
      <c r="V132" s="13">
        <f t="shared" si="30"/>
        <v>52.944092758130132</v>
      </c>
      <c r="W132" s="12">
        <f t="shared" si="31"/>
        <v>0.23134448808306882</v>
      </c>
      <c r="X132" s="12">
        <f t="shared" si="32"/>
        <v>0</v>
      </c>
      <c r="Y132" s="13">
        <f t="shared" si="33"/>
        <v>2.0934785655828505</v>
      </c>
      <c r="Z132" s="13">
        <f t="shared" si="34"/>
        <v>90.508098095161984</v>
      </c>
      <c r="AA132" s="13">
        <f t="shared" si="35"/>
        <v>443062200.95693785</v>
      </c>
    </row>
    <row r="133" spans="1:27" x14ac:dyDescent="0.25">
      <c r="A133" s="10" t="s">
        <v>192</v>
      </c>
      <c r="B133" s="11">
        <v>-29000000</v>
      </c>
      <c r="C133" s="11">
        <v>20397000000</v>
      </c>
      <c r="D133" s="11"/>
      <c r="E133" s="11"/>
      <c r="F133" s="11"/>
      <c r="G133" s="11">
        <v>536000000</v>
      </c>
      <c r="H133" s="11">
        <v>18437000000</v>
      </c>
      <c r="I133" s="11">
        <v>21449000000</v>
      </c>
      <c r="J133" s="11">
        <v>7170000000</v>
      </c>
      <c r="K133" s="11"/>
      <c r="L133" s="11">
        <v>18199264154.290001</v>
      </c>
      <c r="M133" s="11"/>
      <c r="N133" s="11">
        <v>-7.0000000000000007E-2</v>
      </c>
      <c r="O133" s="11">
        <v>412800000</v>
      </c>
      <c r="P133" s="12">
        <f t="shared" si="24"/>
        <v>-1.572924011498617E-3</v>
      </c>
      <c r="Q133" s="12">
        <f t="shared" si="25"/>
        <v>-1.352044384353583E-3</v>
      </c>
      <c r="R133" s="12">
        <f t="shared" si="26"/>
        <v>-1.4217777124086875E-3</v>
      </c>
      <c r="S133" s="12">
        <f t="shared" si="27"/>
        <v>0</v>
      </c>
      <c r="T133" s="12">
        <f t="shared" si="28"/>
        <v>0</v>
      </c>
      <c r="U133" s="13" t="str">
        <f t="shared" si="29"/>
        <v/>
      </c>
      <c r="V133" s="13" t="str">
        <f t="shared" si="30"/>
        <v/>
      </c>
      <c r="W133" s="12">
        <f t="shared" si="31"/>
        <v>2.0931776467372203E-2</v>
      </c>
      <c r="X133" s="12">
        <f t="shared" si="32"/>
        <v>0</v>
      </c>
      <c r="Y133" s="13">
        <f t="shared" si="33"/>
        <v>-7.0251937984496124E-2</v>
      </c>
      <c r="Z133" s="13">
        <f t="shared" si="34"/>
        <v>-627.56083290655181</v>
      </c>
      <c r="AA133" s="13">
        <f t="shared" si="35"/>
        <v>414285714.28571427</v>
      </c>
    </row>
    <row r="134" spans="1:27" x14ac:dyDescent="0.25">
      <c r="A134" s="10" t="s">
        <v>193</v>
      </c>
      <c r="B134" s="11">
        <v>135673000</v>
      </c>
      <c r="C134" s="11">
        <v>3672031000</v>
      </c>
      <c r="D134" s="11">
        <v>2933474000</v>
      </c>
      <c r="E134" s="11">
        <v>-24626000</v>
      </c>
      <c r="F134" s="11">
        <v>30774000</v>
      </c>
      <c r="G134" s="11">
        <v>1061028000</v>
      </c>
      <c r="H134" s="11">
        <v>3452448000</v>
      </c>
      <c r="I134" s="11">
        <v>6952012000</v>
      </c>
      <c r="J134" s="11"/>
      <c r="K134" s="11"/>
      <c r="L134" s="11">
        <v>95753290841</v>
      </c>
      <c r="M134" s="11"/>
      <c r="N134" s="11">
        <v>0.37</v>
      </c>
      <c r="O134" s="11">
        <v>364731000</v>
      </c>
      <c r="P134" s="12">
        <f t="shared" si="24"/>
        <v>3.9297623019955694E-2</v>
      </c>
      <c r="Q134" s="12">
        <f t="shared" si="25"/>
        <v>1.951564525492764E-2</v>
      </c>
      <c r="R134" s="12">
        <f t="shared" si="26"/>
        <v>3.6947672827380817E-2</v>
      </c>
      <c r="S134" s="12">
        <f t="shared" si="27"/>
        <v>-6.706370398289121E-3</v>
      </c>
      <c r="T134" s="12">
        <f t="shared" si="28"/>
        <v>0.79886961738612772</v>
      </c>
      <c r="U134" s="13">
        <f t="shared" si="29"/>
        <v>0</v>
      </c>
      <c r="V134" s="13">
        <f t="shared" si="30"/>
        <v>3111.499669883668</v>
      </c>
      <c r="W134" s="12">
        <f t="shared" si="31"/>
        <v>0.30732627978755944</v>
      </c>
      <c r="X134" s="12">
        <f t="shared" si="32"/>
        <v>0</v>
      </c>
      <c r="Y134" s="13">
        <f t="shared" si="33"/>
        <v>0.37198099421217279</v>
      </c>
      <c r="Z134" s="13">
        <f t="shared" si="34"/>
        <v>705.76526531439561</v>
      </c>
      <c r="AA134" s="13">
        <f t="shared" si="35"/>
        <v>366683783.78378379</v>
      </c>
    </row>
    <row r="135" spans="1:27" x14ac:dyDescent="0.25">
      <c r="A135" s="10" t="s">
        <v>194</v>
      </c>
      <c r="B135" s="11">
        <v>4783000000</v>
      </c>
      <c r="C135" s="11">
        <v>47393000000</v>
      </c>
      <c r="D135" s="11"/>
      <c r="E135" s="11">
        <v>9039000000</v>
      </c>
      <c r="F135" s="11">
        <v>11348000000</v>
      </c>
      <c r="G135" s="11">
        <v>6677000000</v>
      </c>
      <c r="H135" s="11">
        <v>25846500000</v>
      </c>
      <c r="I135" s="11">
        <v>107001000000</v>
      </c>
      <c r="J135" s="11">
        <v>32447000000</v>
      </c>
      <c r="K135" s="11"/>
      <c r="L135" s="11">
        <v>160045905872.76999</v>
      </c>
      <c r="M135" s="11">
        <v>1755000000</v>
      </c>
      <c r="N135" s="11">
        <v>17.66</v>
      </c>
      <c r="O135" s="11">
        <v>270900000</v>
      </c>
      <c r="P135" s="12">
        <f t="shared" si="24"/>
        <v>0.18505406921633491</v>
      </c>
      <c r="Q135" s="12">
        <f t="shared" si="25"/>
        <v>4.4700516817599838E-2</v>
      </c>
      <c r="R135" s="12">
        <f t="shared" si="26"/>
        <v>0.10092207709999367</v>
      </c>
      <c r="S135" s="12">
        <f t="shared" si="27"/>
        <v>0.19072436857763805</v>
      </c>
      <c r="T135" s="12">
        <f t="shared" si="28"/>
        <v>0</v>
      </c>
      <c r="U135" s="13">
        <f t="shared" si="29"/>
        <v>2.8592703560098696</v>
      </c>
      <c r="V135" s="13">
        <f t="shared" si="30"/>
        <v>16.962716414590236</v>
      </c>
      <c r="W135" s="12">
        <f t="shared" si="31"/>
        <v>0.11454107233224974</v>
      </c>
      <c r="X135" s="12">
        <f t="shared" si="32"/>
        <v>0.36692452435709805</v>
      </c>
      <c r="Y135" s="13">
        <f t="shared" si="33"/>
        <v>17.655961609449982</v>
      </c>
      <c r="Z135" s="13">
        <f t="shared" si="34"/>
        <v>33.461406203798866</v>
      </c>
      <c r="AA135" s="13">
        <f t="shared" si="35"/>
        <v>270838052.09513026</v>
      </c>
    </row>
    <row r="136" spans="1:27" x14ac:dyDescent="0.25">
      <c r="A136" s="10" t="s">
        <v>195</v>
      </c>
      <c r="B136" s="11">
        <v>1024071000</v>
      </c>
      <c r="C136" s="11">
        <v>5472296000</v>
      </c>
      <c r="D136" s="11">
        <v>3157726000</v>
      </c>
      <c r="E136" s="11">
        <v>1262903000</v>
      </c>
      <c r="F136" s="11">
        <v>1337493000</v>
      </c>
      <c r="G136" s="11">
        <v>1097332000</v>
      </c>
      <c r="H136" s="11">
        <v>2506325500</v>
      </c>
      <c r="I136" s="11">
        <v>3687765000</v>
      </c>
      <c r="J136" s="11"/>
      <c r="K136" s="11"/>
      <c r="L136" s="11">
        <v>14479728873.5</v>
      </c>
      <c r="M136" s="11"/>
      <c r="N136" s="11">
        <v>7.02</v>
      </c>
      <c r="O136" s="11">
        <v>145805000</v>
      </c>
      <c r="P136" s="12">
        <f t="shared" si="24"/>
        <v>0.4085945740088428</v>
      </c>
      <c r="Q136" s="12">
        <f t="shared" si="25"/>
        <v>0.2776942131616304</v>
      </c>
      <c r="R136" s="12">
        <f t="shared" si="26"/>
        <v>0.18713735514306976</v>
      </c>
      <c r="S136" s="12">
        <f t="shared" si="27"/>
        <v>0.23078119312259424</v>
      </c>
      <c r="T136" s="12">
        <f t="shared" si="28"/>
        <v>0.57703859586542838</v>
      </c>
      <c r="U136" s="13">
        <f t="shared" si="29"/>
        <v>0</v>
      </c>
      <c r="V136" s="13">
        <f t="shared" si="30"/>
        <v>10.826022172452491</v>
      </c>
      <c r="W136" s="12">
        <f t="shared" si="31"/>
        <v>0.43782501514667588</v>
      </c>
      <c r="X136" s="12">
        <f t="shared" si="32"/>
        <v>0</v>
      </c>
      <c r="Y136" s="13">
        <f t="shared" si="33"/>
        <v>7.0235657213401463</v>
      </c>
      <c r="Z136" s="13">
        <f t="shared" si="34"/>
        <v>14.139379860869022</v>
      </c>
      <c r="AA136" s="13">
        <f t="shared" si="35"/>
        <v>145879059.82905984</v>
      </c>
    </row>
    <row r="137" spans="1:27" x14ac:dyDescent="0.25">
      <c r="A137" s="10" t="s">
        <v>196</v>
      </c>
      <c r="B137" s="11">
        <v>8409000000</v>
      </c>
      <c r="C137" s="11">
        <v>134002000000</v>
      </c>
      <c r="D137" s="11">
        <v>25552000000</v>
      </c>
      <c r="E137" s="11">
        <v>10640000000</v>
      </c>
      <c r="F137" s="11">
        <v>13689000000</v>
      </c>
      <c r="G137" s="11">
        <v>9442000000</v>
      </c>
      <c r="H137" s="11">
        <v>-2214000000</v>
      </c>
      <c r="I137" s="11">
        <v>114913000000</v>
      </c>
      <c r="J137" s="11">
        <v>31161000000</v>
      </c>
      <c r="K137" s="11"/>
      <c r="L137" s="11">
        <v>290906244722.90997</v>
      </c>
      <c r="M137" s="11">
        <v>1527000000</v>
      </c>
      <c r="N137" s="11">
        <v>12.82</v>
      </c>
      <c r="O137" s="11">
        <v>656000000</v>
      </c>
      <c r="P137" s="12">
        <f t="shared" si="24"/>
        <v>-3.7981029810298104</v>
      </c>
      <c r="Q137" s="12">
        <f t="shared" si="25"/>
        <v>7.3177099196783654E-2</v>
      </c>
      <c r="R137" s="12">
        <f t="shared" si="26"/>
        <v>6.2752794734406953E-2</v>
      </c>
      <c r="S137" s="12">
        <f t="shared" si="27"/>
        <v>7.9401799973134735E-2</v>
      </c>
      <c r="T137" s="12">
        <f t="shared" si="28"/>
        <v>0.19068372113849047</v>
      </c>
      <c r="U137" s="13">
        <f t="shared" si="29"/>
        <v>2.2763532763532766</v>
      </c>
      <c r="V137" s="13">
        <f t="shared" si="30"/>
        <v>23.527448661181239</v>
      </c>
      <c r="W137" s="12">
        <f t="shared" si="31"/>
        <v>0.32618233322969564</v>
      </c>
      <c r="X137" s="12">
        <f t="shared" si="32"/>
        <v>0.18159115233678202</v>
      </c>
      <c r="Y137" s="13">
        <f t="shared" si="33"/>
        <v>12.81859756097561</v>
      </c>
      <c r="Z137" s="13">
        <f t="shared" si="34"/>
        <v>34.594630125212269</v>
      </c>
      <c r="AA137" s="13">
        <f t="shared" si="35"/>
        <v>655928237.12948513</v>
      </c>
    </row>
    <row r="138" spans="1:27" x14ac:dyDescent="0.25">
      <c r="A138" s="10" t="s">
        <v>197</v>
      </c>
      <c r="B138" s="11">
        <v>1564510000</v>
      </c>
      <c r="C138" s="11">
        <v>43075355000</v>
      </c>
      <c r="D138" s="11">
        <v>13278873000</v>
      </c>
      <c r="E138" s="11">
        <v>2266071000</v>
      </c>
      <c r="F138" s="11">
        <v>3330428000</v>
      </c>
      <c r="G138" s="11">
        <v>2201694000</v>
      </c>
      <c r="H138" s="11">
        <v>8273473500</v>
      </c>
      <c r="I138" s="11">
        <v>31699653000</v>
      </c>
      <c r="J138" s="11">
        <v>5191335000</v>
      </c>
      <c r="K138" s="11"/>
      <c r="L138" s="11">
        <v>25528493397.799999</v>
      </c>
      <c r="M138" s="11">
        <v>519835000</v>
      </c>
      <c r="N138" s="11">
        <v>7.06</v>
      </c>
      <c r="O138" s="11">
        <v>221559000</v>
      </c>
      <c r="P138" s="12">
        <f t="shared" si="24"/>
        <v>0.18909953600504067</v>
      </c>
      <c r="Q138" s="12">
        <f t="shared" si="25"/>
        <v>4.9354168009346978E-2</v>
      </c>
      <c r="R138" s="12">
        <f t="shared" si="26"/>
        <v>3.6320304266790143E-2</v>
      </c>
      <c r="S138" s="12">
        <f t="shared" si="27"/>
        <v>5.2607134636499221E-2</v>
      </c>
      <c r="T138" s="12">
        <f t="shared" si="28"/>
        <v>0.30827077339234932</v>
      </c>
      <c r="U138" s="13">
        <f t="shared" si="29"/>
        <v>1.5587591144441495</v>
      </c>
      <c r="V138" s="13">
        <f t="shared" si="30"/>
        <v>9.2239881474092815</v>
      </c>
      <c r="W138" s="12">
        <f t="shared" si="31"/>
        <v>0.16351469090704113</v>
      </c>
      <c r="X138" s="12">
        <f t="shared" si="32"/>
        <v>0.33226697176751824</v>
      </c>
      <c r="Y138" s="13">
        <f t="shared" si="33"/>
        <v>7.0613696577435352</v>
      </c>
      <c r="Z138" s="13">
        <f t="shared" si="34"/>
        <v>16.317245270276317</v>
      </c>
      <c r="AA138" s="13">
        <f t="shared" si="35"/>
        <v>221601983.00283286</v>
      </c>
    </row>
    <row r="139" spans="1:27" x14ac:dyDescent="0.25">
      <c r="A139" s="10" t="s">
        <v>198</v>
      </c>
      <c r="B139" s="11">
        <v>1024000000</v>
      </c>
      <c r="C139" s="11">
        <v>11278000000</v>
      </c>
      <c r="D139" s="11">
        <v>3633000000</v>
      </c>
      <c r="E139" s="11">
        <v>1609000000</v>
      </c>
      <c r="F139" s="11">
        <v>2186000000</v>
      </c>
      <c r="G139" s="11">
        <v>1326000000</v>
      </c>
      <c r="H139" s="11">
        <v>7147500000</v>
      </c>
      <c r="I139" s="11">
        <v>16673000000</v>
      </c>
      <c r="J139" s="11">
        <v>5671000000</v>
      </c>
      <c r="K139" s="11"/>
      <c r="L139" s="11">
        <v>23030392391.27</v>
      </c>
      <c r="M139" s="11">
        <v>357000000</v>
      </c>
      <c r="N139" s="11">
        <v>9.14</v>
      </c>
      <c r="O139" s="11">
        <v>112000000</v>
      </c>
      <c r="P139" s="12">
        <f t="shared" si="24"/>
        <v>0.14326687653025533</v>
      </c>
      <c r="Q139" s="12">
        <f t="shared" si="25"/>
        <v>6.1416661668565943E-2</v>
      </c>
      <c r="R139" s="12">
        <f t="shared" si="26"/>
        <v>9.0796240468168116E-2</v>
      </c>
      <c r="S139" s="12">
        <f t="shared" si="27"/>
        <v>0.14266713956375243</v>
      </c>
      <c r="T139" s="12">
        <f t="shared" si="28"/>
        <v>0.32213158361411598</v>
      </c>
      <c r="U139" s="13">
        <f t="shared" si="29"/>
        <v>2.5942360475754804</v>
      </c>
      <c r="V139" s="13">
        <f t="shared" si="30"/>
        <v>13.129639703234218</v>
      </c>
      <c r="W139" s="12">
        <f t="shared" si="31"/>
        <v>0.10344424074579708</v>
      </c>
      <c r="X139" s="12">
        <f t="shared" si="32"/>
        <v>0.3486328125</v>
      </c>
      <c r="Y139" s="13">
        <f t="shared" si="33"/>
        <v>9.1428571428571423</v>
      </c>
      <c r="Z139" s="13">
        <f t="shared" si="34"/>
        <v>22.49061756959961</v>
      </c>
      <c r="AA139" s="13">
        <f t="shared" si="35"/>
        <v>112035010.94091903</v>
      </c>
    </row>
    <row r="140" spans="1:27" x14ac:dyDescent="0.25">
      <c r="A140" s="10" t="s">
        <v>199</v>
      </c>
      <c r="B140" s="11">
        <v>3172600000</v>
      </c>
      <c r="C140" s="11">
        <v>33348400000</v>
      </c>
      <c r="D140" s="11"/>
      <c r="E140" s="11"/>
      <c r="F140" s="11"/>
      <c r="G140" s="11">
        <v>3497500000</v>
      </c>
      <c r="H140" s="11">
        <v>23976450000</v>
      </c>
      <c r="I140" s="11">
        <v>35566900000</v>
      </c>
      <c r="J140" s="11"/>
      <c r="K140" s="11"/>
      <c r="L140" s="11">
        <v>42409331989.57</v>
      </c>
      <c r="M140" s="11">
        <v>502000000</v>
      </c>
      <c r="N140" s="11">
        <v>10.89</v>
      </c>
      <c r="O140" s="11">
        <v>291200000</v>
      </c>
      <c r="P140" s="12">
        <f t="shared" si="24"/>
        <v>0.13232150714555324</v>
      </c>
      <c r="Q140" s="12">
        <f t="shared" si="25"/>
        <v>8.9200914333270542E-2</v>
      </c>
      <c r="R140" s="12">
        <f t="shared" si="26"/>
        <v>9.5134998980460836E-2</v>
      </c>
      <c r="S140" s="12">
        <f t="shared" si="27"/>
        <v>0</v>
      </c>
      <c r="T140" s="12">
        <f t="shared" si="28"/>
        <v>0</v>
      </c>
      <c r="U140" s="13" t="str">
        <f t="shared" si="29"/>
        <v/>
      </c>
      <c r="V140" s="13" t="str">
        <f t="shared" si="30"/>
        <v/>
      </c>
      <c r="W140" s="12">
        <f t="shared" si="31"/>
        <v>0.14587230386483405</v>
      </c>
      <c r="X140" s="12">
        <f t="shared" si="32"/>
        <v>0.15822984303095253</v>
      </c>
      <c r="Y140" s="13">
        <f t="shared" si="33"/>
        <v>10.894917582417582</v>
      </c>
      <c r="Z140" s="13">
        <f t="shared" si="34"/>
        <v>13.367374389954611</v>
      </c>
      <c r="AA140" s="13">
        <f t="shared" si="35"/>
        <v>291331496.78604221</v>
      </c>
    </row>
    <row r="141" spans="1:27" x14ac:dyDescent="0.25">
      <c r="A141" s="10" t="s">
        <v>200</v>
      </c>
      <c r="B141" s="11">
        <v>3689000000</v>
      </c>
      <c r="C141" s="11">
        <v>24778000000</v>
      </c>
      <c r="D141" s="11">
        <v>14603000000</v>
      </c>
      <c r="E141" s="11">
        <v>4760000000</v>
      </c>
      <c r="F141" s="11">
        <v>6926000000</v>
      </c>
      <c r="G141" s="11">
        <v>5291000000</v>
      </c>
      <c r="H141" s="11">
        <v>51899000000</v>
      </c>
      <c r="I141" s="11">
        <v>83544000000</v>
      </c>
      <c r="J141" s="11">
        <v>18484000000</v>
      </c>
      <c r="K141" s="11"/>
      <c r="L141" s="11">
        <v>138708884455.54001</v>
      </c>
      <c r="M141" s="11">
        <v>910000000</v>
      </c>
      <c r="N141" s="11">
        <v>5.19</v>
      </c>
      <c r="O141" s="11">
        <v>711200000</v>
      </c>
      <c r="P141" s="12">
        <f t="shared" si="24"/>
        <v>7.1080367637141373E-2</v>
      </c>
      <c r="Q141" s="12">
        <f t="shared" si="25"/>
        <v>4.4156372689840087E-2</v>
      </c>
      <c r="R141" s="12">
        <f t="shared" si="26"/>
        <v>0.14888207280652191</v>
      </c>
      <c r="S141" s="12">
        <f t="shared" si="27"/>
        <v>0.19210590039551215</v>
      </c>
      <c r="T141" s="12">
        <f t="shared" si="28"/>
        <v>0.58935345871337474</v>
      </c>
      <c r="U141" s="13">
        <f t="shared" si="29"/>
        <v>2.6687842910771007</v>
      </c>
      <c r="V141" s="13">
        <f t="shared" si="30"/>
        <v>22.696056086563676</v>
      </c>
      <c r="W141" s="12">
        <f t="shared" si="31"/>
        <v>7.5174402909793561E-2</v>
      </c>
      <c r="X141" s="12">
        <f t="shared" si="32"/>
        <v>0.24667931688804554</v>
      </c>
      <c r="Y141" s="13">
        <f t="shared" si="33"/>
        <v>5.1870078740157481</v>
      </c>
      <c r="Z141" s="13">
        <f t="shared" si="34"/>
        <v>37.600673476698297</v>
      </c>
      <c r="AA141" s="13">
        <f t="shared" si="35"/>
        <v>710789980.73217726</v>
      </c>
    </row>
    <row r="142" spans="1:27" x14ac:dyDescent="0.25">
      <c r="A142" s="10" t="s">
        <v>201</v>
      </c>
      <c r="B142" s="11">
        <v>11224000000</v>
      </c>
      <c r="C142" s="11">
        <v>97263000000</v>
      </c>
      <c r="D142" s="11"/>
      <c r="E142" s="11">
        <v>17258000000</v>
      </c>
      <c r="F142" s="11">
        <v>22705000000</v>
      </c>
      <c r="G142" s="11">
        <v>7110000000</v>
      </c>
      <c r="H142" s="11">
        <v>106523500000</v>
      </c>
      <c r="I142" s="11">
        <v>205217000000</v>
      </c>
      <c r="J142" s="11">
        <v>42026000000</v>
      </c>
      <c r="K142" s="11"/>
      <c r="L142" s="11">
        <v>167000300466.42999</v>
      </c>
      <c r="M142" s="11">
        <v>2235000000</v>
      </c>
      <c r="N142" s="11">
        <v>6.3</v>
      </c>
      <c r="O142" s="11">
        <v>1782000000</v>
      </c>
      <c r="P142" s="12">
        <f t="shared" si="24"/>
        <v>0.10536642149384877</v>
      </c>
      <c r="Q142" s="12">
        <f t="shared" si="25"/>
        <v>5.4693324627102045E-2</v>
      </c>
      <c r="R142" s="12">
        <f t="shared" si="26"/>
        <v>0.1153984557334238</v>
      </c>
      <c r="S142" s="12">
        <f t="shared" si="27"/>
        <v>0.17743643523230829</v>
      </c>
      <c r="T142" s="12">
        <f t="shared" si="28"/>
        <v>0</v>
      </c>
      <c r="U142" s="13">
        <f t="shared" si="29"/>
        <v>1.8509579387800044</v>
      </c>
      <c r="V142" s="13">
        <f t="shared" si="30"/>
        <v>9.206179276213609</v>
      </c>
      <c r="W142" s="12">
        <f t="shared" si="31"/>
        <v>4.7862833600920904E-2</v>
      </c>
      <c r="X142" s="12">
        <f t="shared" si="32"/>
        <v>0.19912687099073414</v>
      </c>
      <c r="Y142" s="13">
        <f t="shared" si="33"/>
        <v>6.2985409652076321</v>
      </c>
      <c r="Z142" s="13">
        <f t="shared" si="34"/>
        <v>14.87885784626069</v>
      </c>
      <c r="AA142" s="13">
        <f t="shared" si="35"/>
        <v>1781587301.5873017</v>
      </c>
    </row>
    <row r="143" spans="1:27" x14ac:dyDescent="0.25">
      <c r="A143" s="10" t="s">
        <v>202</v>
      </c>
      <c r="B143" s="11">
        <v>1377889000</v>
      </c>
      <c r="C143" s="11">
        <v>6340228000</v>
      </c>
      <c r="D143" s="11"/>
      <c r="E143" s="11">
        <v>730548000</v>
      </c>
      <c r="F143" s="11">
        <v>2681686000</v>
      </c>
      <c r="G143" s="11"/>
      <c r="H143" s="11">
        <v>22332175500</v>
      </c>
      <c r="I143" s="11">
        <v>48859973000</v>
      </c>
      <c r="J143" s="11"/>
      <c r="K143" s="11"/>
      <c r="L143" s="11">
        <v>66347797116.110001</v>
      </c>
      <c r="M143" s="11">
        <v>1162782000</v>
      </c>
      <c r="N143" s="11">
        <v>3.9</v>
      </c>
      <c r="O143" s="11">
        <v>353254000</v>
      </c>
      <c r="P143" s="12">
        <f t="shared" si="24"/>
        <v>6.1699721104197844E-2</v>
      </c>
      <c r="Q143" s="12">
        <f t="shared" si="25"/>
        <v>2.8200772849383278E-2</v>
      </c>
      <c r="R143" s="12">
        <f t="shared" si="26"/>
        <v>0.21732483437504141</v>
      </c>
      <c r="S143" s="12">
        <f t="shared" si="27"/>
        <v>0.11522424745608517</v>
      </c>
      <c r="T143" s="12">
        <f t="shared" si="28"/>
        <v>0</v>
      </c>
      <c r="U143" s="13">
        <f t="shared" si="29"/>
        <v>0</v>
      </c>
      <c r="V143" s="13">
        <f t="shared" si="30"/>
        <v>24.741075993278109</v>
      </c>
      <c r="W143" s="12">
        <f t="shared" si="31"/>
        <v>0</v>
      </c>
      <c r="X143" s="12">
        <f t="shared" si="32"/>
        <v>0.84388655399672974</v>
      </c>
      <c r="Y143" s="13">
        <f t="shared" si="33"/>
        <v>3.9005616355370356</v>
      </c>
      <c r="Z143" s="13">
        <f t="shared" si="34"/>
        <v>48.151772106541237</v>
      </c>
      <c r="AA143" s="13">
        <f t="shared" si="35"/>
        <v>353304871.79487181</v>
      </c>
    </row>
    <row r="144" spans="1:27" x14ac:dyDescent="0.25">
      <c r="A144" s="10" t="s">
        <v>203</v>
      </c>
      <c r="B144" s="11">
        <v>1286400000</v>
      </c>
      <c r="C144" s="11">
        <v>19747900000</v>
      </c>
      <c r="D144" s="11">
        <v>6799900000</v>
      </c>
      <c r="E144" s="11">
        <v>1742300000</v>
      </c>
      <c r="F144" s="11">
        <v>2390400000</v>
      </c>
      <c r="G144" s="11">
        <v>1905400000</v>
      </c>
      <c r="H144" s="11">
        <v>3705900000</v>
      </c>
      <c r="I144" s="11">
        <v>13823800000</v>
      </c>
      <c r="J144" s="11">
        <v>2431700000</v>
      </c>
      <c r="K144" s="11"/>
      <c r="L144" s="11">
        <v>23237750829.080002</v>
      </c>
      <c r="M144" s="11"/>
      <c r="N144" s="11">
        <v>6.52</v>
      </c>
      <c r="O144" s="11">
        <v>197400000</v>
      </c>
      <c r="P144" s="12">
        <f t="shared" si="24"/>
        <v>0.34712215656115925</v>
      </c>
      <c r="Q144" s="12">
        <f t="shared" si="25"/>
        <v>9.3056901864899663E-2</v>
      </c>
      <c r="R144" s="12">
        <f t="shared" si="26"/>
        <v>6.5141103611016868E-2</v>
      </c>
      <c r="S144" s="12">
        <f t="shared" si="27"/>
        <v>8.8227102628633924E-2</v>
      </c>
      <c r="T144" s="12">
        <f t="shared" si="28"/>
        <v>0.3443353470495597</v>
      </c>
      <c r="U144" s="13">
        <f t="shared" si="29"/>
        <v>1.0172774431057563</v>
      </c>
      <c r="V144" s="13">
        <f t="shared" si="30"/>
        <v>10.738558747105088</v>
      </c>
      <c r="W144" s="12">
        <f t="shared" si="31"/>
        <v>0.31044708029197082</v>
      </c>
      <c r="X144" s="12">
        <f t="shared" si="32"/>
        <v>0</v>
      </c>
      <c r="Y144" s="13">
        <f t="shared" si="33"/>
        <v>6.5167173252279635</v>
      </c>
      <c r="Z144" s="13">
        <f t="shared" si="34"/>
        <v>18.064171975342042</v>
      </c>
      <c r="AA144" s="13">
        <f t="shared" si="35"/>
        <v>197300613.49693254</v>
      </c>
    </row>
    <row r="145" spans="1:27" x14ac:dyDescent="0.25">
      <c r="A145" s="10" t="s">
        <v>204</v>
      </c>
      <c r="B145" s="11">
        <v>222152000</v>
      </c>
      <c r="C145" s="11">
        <v>2872575000</v>
      </c>
      <c r="D145" s="11"/>
      <c r="E145" s="11"/>
      <c r="F145" s="11"/>
      <c r="G145" s="11">
        <v>338462000</v>
      </c>
      <c r="H145" s="11">
        <v>8007167500</v>
      </c>
      <c r="I145" s="11">
        <v>21616225000</v>
      </c>
      <c r="J145" s="11">
        <v>10422772000</v>
      </c>
      <c r="K145" s="11"/>
      <c r="L145" s="11">
        <v>14870782761.75</v>
      </c>
      <c r="M145" s="11">
        <v>847610000</v>
      </c>
      <c r="N145" s="11">
        <v>0.32</v>
      </c>
      <c r="O145" s="11">
        <v>695168000</v>
      </c>
      <c r="P145" s="12">
        <f t="shared" si="24"/>
        <v>2.7744142981897157E-2</v>
      </c>
      <c r="Q145" s="12">
        <f t="shared" si="25"/>
        <v>1.0277095098704793E-2</v>
      </c>
      <c r="R145" s="12">
        <f t="shared" si="26"/>
        <v>7.7335491675587231E-2</v>
      </c>
      <c r="S145" s="12">
        <f t="shared" si="27"/>
        <v>0</v>
      </c>
      <c r="T145" s="12">
        <f t="shared" si="28"/>
        <v>0</v>
      </c>
      <c r="U145" s="13" t="str">
        <f t="shared" si="29"/>
        <v/>
      </c>
      <c r="V145" s="13" t="str">
        <f t="shared" si="30"/>
        <v/>
      </c>
      <c r="W145" s="12">
        <f t="shared" si="31"/>
        <v>1.836479170211058E-2</v>
      </c>
      <c r="X145" s="12">
        <f t="shared" si="32"/>
        <v>3.8154506824156433</v>
      </c>
      <c r="Y145" s="13">
        <f t="shared" si="33"/>
        <v>0.3195659178788437</v>
      </c>
      <c r="Z145" s="13">
        <f t="shared" si="34"/>
        <v>66.939675365290427</v>
      </c>
      <c r="AA145" s="13">
        <f t="shared" si="35"/>
        <v>694225000</v>
      </c>
    </row>
    <row r="146" spans="1:27" x14ac:dyDescent="0.25">
      <c r="A146" s="10" t="s">
        <v>205</v>
      </c>
      <c r="B146" s="11">
        <v>1101568000</v>
      </c>
      <c r="C146" s="11">
        <v>8280135000</v>
      </c>
      <c r="D146" s="11">
        <v>3270804000</v>
      </c>
      <c r="E146" s="11">
        <v>1382961000</v>
      </c>
      <c r="F146" s="11">
        <v>1772541000</v>
      </c>
      <c r="G146" s="11">
        <v>1038183000</v>
      </c>
      <c r="H146" s="11">
        <v>7313826500</v>
      </c>
      <c r="I146" s="11">
        <v>13506680000</v>
      </c>
      <c r="J146" s="11">
        <v>3290113000</v>
      </c>
      <c r="K146" s="11"/>
      <c r="L146" s="11">
        <v>28490316346.27</v>
      </c>
      <c r="M146" s="11">
        <v>282054000</v>
      </c>
      <c r="N146" s="11">
        <v>8.11</v>
      </c>
      <c r="O146" s="11">
        <v>135895000</v>
      </c>
      <c r="P146" s="12">
        <f t="shared" si="24"/>
        <v>0.15061445605798826</v>
      </c>
      <c r="Q146" s="12">
        <f t="shared" si="25"/>
        <v>8.1557273882256781E-2</v>
      </c>
      <c r="R146" s="12">
        <f t="shared" si="26"/>
        <v>0.13303744443780205</v>
      </c>
      <c r="S146" s="12">
        <f t="shared" si="27"/>
        <v>0.16702155218483758</v>
      </c>
      <c r="T146" s="12">
        <f t="shared" si="28"/>
        <v>0.39501819716707515</v>
      </c>
      <c r="U146" s="13">
        <f t="shared" si="29"/>
        <v>1.8561562186713876</v>
      </c>
      <c r="V146" s="13">
        <f t="shared" si="30"/>
        <v>17.929305638780711</v>
      </c>
      <c r="W146" s="12">
        <f t="shared" si="31"/>
        <v>9.7905405816394939E-2</v>
      </c>
      <c r="X146" s="12">
        <f t="shared" si="32"/>
        <v>0.25604774285382292</v>
      </c>
      <c r="Y146" s="13">
        <f t="shared" si="33"/>
        <v>8.1060230324883182</v>
      </c>
      <c r="Z146" s="13">
        <f t="shared" si="34"/>
        <v>25.863420457266368</v>
      </c>
      <c r="AA146" s="13">
        <f t="shared" si="35"/>
        <v>135828360.04932183</v>
      </c>
    </row>
    <row r="147" spans="1:27" x14ac:dyDescent="0.25">
      <c r="A147" s="10" t="s">
        <v>206</v>
      </c>
      <c r="B147" s="11"/>
      <c r="C147" s="11">
        <v>39331000000</v>
      </c>
      <c r="D147" s="11">
        <v>5196000000</v>
      </c>
      <c r="E147" s="11"/>
      <c r="F147" s="11"/>
      <c r="G147" s="11">
        <v>-232000000</v>
      </c>
      <c r="H147" s="11">
        <v>16018500000</v>
      </c>
      <c r="I147" s="11">
        <v>59780000000</v>
      </c>
      <c r="J147" s="11">
        <v>16208000000</v>
      </c>
      <c r="K147" s="11"/>
      <c r="L147" s="11">
        <v>20541130983</v>
      </c>
      <c r="M147" s="11"/>
      <c r="N147" s="11"/>
      <c r="O147" s="11"/>
      <c r="P147" s="12">
        <f t="shared" si="24"/>
        <v>0</v>
      </c>
      <c r="Q147" s="12">
        <f t="shared" si="25"/>
        <v>0</v>
      </c>
      <c r="R147" s="12">
        <f t="shared" si="26"/>
        <v>0</v>
      </c>
      <c r="S147" s="12">
        <f t="shared" si="27"/>
        <v>0</v>
      </c>
      <c r="T147" s="12">
        <f t="shared" si="28"/>
        <v>0.13210953192138516</v>
      </c>
      <c r="U147" s="13" t="str">
        <f t="shared" si="29"/>
        <v/>
      </c>
      <c r="V147" s="13" t="str">
        <f t="shared" si="30"/>
        <v/>
      </c>
      <c r="W147" s="12">
        <f t="shared" si="31"/>
        <v>-7.1990442648131193E-3</v>
      </c>
      <c r="X147" s="12" t="str">
        <f t="shared" si="32"/>
        <v/>
      </c>
      <c r="Y147" s="13" t="str">
        <f t="shared" si="33"/>
        <v/>
      </c>
      <c r="Z147" s="13" t="str">
        <f t="shared" si="34"/>
        <v/>
      </c>
      <c r="AA147" s="13" t="str">
        <f t="shared" si="35"/>
        <v/>
      </c>
    </row>
    <row r="148" spans="1:27" x14ac:dyDescent="0.25">
      <c r="A148" s="10" t="s">
        <v>207</v>
      </c>
      <c r="B148" s="11">
        <v>591864000</v>
      </c>
      <c r="C148" s="11">
        <v>4978532000</v>
      </c>
      <c r="D148" s="11">
        <v>1994925000</v>
      </c>
      <c r="E148" s="11">
        <v>974236000</v>
      </c>
      <c r="F148" s="11">
        <v>1063135000</v>
      </c>
      <c r="G148" s="11">
        <v>654085000</v>
      </c>
      <c r="H148" s="11">
        <v>-3909730500</v>
      </c>
      <c r="I148" s="11">
        <v>1844488000</v>
      </c>
      <c r="J148" s="11">
        <v>14600000</v>
      </c>
      <c r="K148" s="11"/>
      <c r="L148" s="11">
        <v>10007831608.01</v>
      </c>
      <c r="M148" s="11">
        <v>237703000</v>
      </c>
      <c r="N148" s="11">
        <v>17.5</v>
      </c>
      <c r="O148" s="11">
        <v>33815028</v>
      </c>
      <c r="P148" s="12">
        <f t="shared" si="24"/>
        <v>-0.15138230115860926</v>
      </c>
      <c r="Q148" s="12">
        <f t="shared" si="25"/>
        <v>0.32088254301464686</v>
      </c>
      <c r="R148" s="12">
        <f t="shared" si="26"/>
        <v>0.11888323706666945</v>
      </c>
      <c r="S148" s="12">
        <f t="shared" si="27"/>
        <v>0.19568740343539018</v>
      </c>
      <c r="T148" s="12">
        <f t="shared" si="28"/>
        <v>0.40070546900170573</v>
      </c>
      <c r="U148" s="13">
        <f t="shared" si="29"/>
        <v>1.3732969002055243E-2</v>
      </c>
      <c r="V148" s="13">
        <f t="shared" si="30"/>
        <v>9.4272426437000014</v>
      </c>
      <c r="W148" s="12">
        <f t="shared" si="31"/>
        <v>-0.16792377046160584</v>
      </c>
      <c r="X148" s="12">
        <f t="shared" si="32"/>
        <v>0.40161760134084856</v>
      </c>
      <c r="Y148" s="13">
        <f t="shared" si="33"/>
        <v>17.50298713341299</v>
      </c>
      <c r="Z148" s="13">
        <f t="shared" si="34"/>
        <v>16.909005460730842</v>
      </c>
      <c r="AA148" s="13">
        <f t="shared" si="35"/>
        <v>33820800</v>
      </c>
    </row>
    <row r="149" spans="1:27" x14ac:dyDescent="0.25">
      <c r="A149" s="10" t="s">
        <v>208</v>
      </c>
      <c r="B149" s="11">
        <v>1105600000</v>
      </c>
      <c r="C149" s="11">
        <v>12763800000</v>
      </c>
      <c r="D149" s="11">
        <v>2583000000</v>
      </c>
      <c r="E149" s="11">
        <v>1448800000</v>
      </c>
      <c r="F149" s="11">
        <v>1998600000</v>
      </c>
      <c r="G149" s="11"/>
      <c r="H149" s="11">
        <v>2153500000</v>
      </c>
      <c r="I149" s="11">
        <v>12888800000</v>
      </c>
      <c r="J149" s="11">
        <v>2141000000</v>
      </c>
      <c r="K149" s="11"/>
      <c r="L149" s="11">
        <v>23126907596.040001</v>
      </c>
      <c r="M149" s="11">
        <v>685400000</v>
      </c>
      <c r="N149" s="11">
        <v>9.4700000000000006</v>
      </c>
      <c r="O149" s="11">
        <v>116700000</v>
      </c>
      <c r="P149" s="12">
        <f t="shared" si="24"/>
        <v>0.51339679591362897</v>
      </c>
      <c r="Q149" s="12">
        <f t="shared" si="25"/>
        <v>8.5779901930358143E-2</v>
      </c>
      <c r="R149" s="12">
        <f t="shared" si="26"/>
        <v>8.6619972108619686E-2</v>
      </c>
      <c r="S149" s="12">
        <f t="shared" si="27"/>
        <v>0.1135085162725834</v>
      </c>
      <c r="T149" s="12">
        <f t="shared" si="28"/>
        <v>0.20236920039486672</v>
      </c>
      <c r="U149" s="13">
        <f t="shared" si="29"/>
        <v>1.0712498749124386</v>
      </c>
      <c r="V149" s="13">
        <f t="shared" si="30"/>
        <v>12.642803760652457</v>
      </c>
      <c r="W149" s="12">
        <f t="shared" si="31"/>
        <v>0</v>
      </c>
      <c r="X149" s="12">
        <f t="shared" si="32"/>
        <v>0.61993487698986971</v>
      </c>
      <c r="Y149" s="13">
        <f t="shared" si="33"/>
        <v>9.4738646101113968</v>
      </c>
      <c r="Z149" s="13">
        <f t="shared" si="34"/>
        <v>20.917969967474676</v>
      </c>
      <c r="AA149" s="13">
        <f t="shared" si="35"/>
        <v>116747624.07602955</v>
      </c>
    </row>
    <row r="150" spans="1:27" x14ac:dyDescent="0.25">
      <c r="A150" s="10" t="s">
        <v>209</v>
      </c>
      <c r="B150" s="11">
        <v>1264000000</v>
      </c>
      <c r="C150" s="11"/>
      <c r="D150" s="11"/>
      <c r="E150" s="11"/>
      <c r="F150" s="11">
        <v>4034000000</v>
      </c>
      <c r="G150" s="11"/>
      <c r="H150" s="11">
        <v>12122000000</v>
      </c>
      <c r="I150" s="11">
        <v>55108000000</v>
      </c>
      <c r="J150" s="11">
        <v>25306000000</v>
      </c>
      <c r="K150" s="11"/>
      <c r="L150" s="11">
        <v>31052387170.299999</v>
      </c>
      <c r="M150" s="11">
        <v>887000000</v>
      </c>
      <c r="N150" s="11">
        <v>6.08</v>
      </c>
      <c r="O150" s="11">
        <v>208000000</v>
      </c>
      <c r="P150" s="12">
        <f t="shared" si="24"/>
        <v>0.10427322224055437</v>
      </c>
      <c r="Q150" s="12">
        <f t="shared" si="25"/>
        <v>2.2936778689119548E-2</v>
      </c>
      <c r="R150" s="12" t="str">
        <f t="shared" si="26"/>
        <v/>
      </c>
      <c r="S150" s="12" t="str">
        <f t="shared" si="27"/>
        <v/>
      </c>
      <c r="T150" s="12" t="str">
        <f t="shared" si="28"/>
        <v/>
      </c>
      <c r="U150" s="13">
        <f t="shared" si="29"/>
        <v>6.2731779871095688</v>
      </c>
      <c r="V150" s="13">
        <f t="shared" si="30"/>
        <v>13.970844613361429</v>
      </c>
      <c r="W150" s="12">
        <f t="shared" si="31"/>
        <v>0</v>
      </c>
      <c r="X150" s="12">
        <f t="shared" si="32"/>
        <v>0.70174050632911389</v>
      </c>
      <c r="Y150" s="13">
        <f t="shared" si="33"/>
        <v>6.0769230769230766</v>
      </c>
      <c r="Z150" s="13">
        <f t="shared" si="34"/>
        <v>24.566762001819619</v>
      </c>
      <c r="AA150" s="13">
        <f t="shared" si="35"/>
        <v>207894736.84210527</v>
      </c>
    </row>
    <row r="151" spans="1:27" x14ac:dyDescent="0.25">
      <c r="A151" s="10" t="s">
        <v>210</v>
      </c>
      <c r="B151" s="11">
        <v>5139000000</v>
      </c>
      <c r="C151" s="11"/>
      <c r="D151" s="11"/>
      <c r="E151" s="11"/>
      <c r="F151" s="11">
        <v>16905000000</v>
      </c>
      <c r="G151" s="11">
        <v>-3299000000</v>
      </c>
      <c r="H151" s="11">
        <v>52563500000</v>
      </c>
      <c r="I151" s="11">
        <v>198048000000</v>
      </c>
      <c r="J151" s="11">
        <v>87212000000</v>
      </c>
      <c r="K151" s="11"/>
      <c r="L151" s="11">
        <v>97652223806.820007</v>
      </c>
      <c r="M151" s="11">
        <v>3179000000</v>
      </c>
      <c r="N151" s="11">
        <v>6.6</v>
      </c>
      <c r="O151" s="11">
        <v>779000000</v>
      </c>
      <c r="P151" s="12">
        <f t="shared" si="24"/>
        <v>9.7767462212371703E-2</v>
      </c>
      <c r="Q151" s="12">
        <f t="shared" si="25"/>
        <v>2.5948254968492488E-2</v>
      </c>
      <c r="R151" s="12" t="str">
        <f t="shared" si="26"/>
        <v/>
      </c>
      <c r="S151" s="12" t="str">
        <f t="shared" si="27"/>
        <v/>
      </c>
      <c r="T151" s="12" t="str">
        <f t="shared" si="28"/>
        <v/>
      </c>
      <c r="U151" s="13">
        <f t="shared" si="29"/>
        <v>5.1589470570837026</v>
      </c>
      <c r="V151" s="13">
        <f t="shared" si="30"/>
        <v>10.935476119894707</v>
      </c>
      <c r="W151" s="12">
        <f t="shared" si="31"/>
        <v>-2.3602133421093109E-2</v>
      </c>
      <c r="X151" s="12">
        <f t="shared" si="32"/>
        <v>0.61860284101965368</v>
      </c>
      <c r="Y151" s="13">
        <f t="shared" si="33"/>
        <v>6.5969191270860081</v>
      </c>
      <c r="Z151" s="13">
        <f t="shared" si="34"/>
        <v>19.002184044915353</v>
      </c>
      <c r="AA151" s="13">
        <f t="shared" si="35"/>
        <v>778636363.63636363</v>
      </c>
    </row>
    <row r="152" spans="1:27" x14ac:dyDescent="0.25">
      <c r="A152" s="10" t="s">
        <v>211</v>
      </c>
      <c r="B152" s="11">
        <v>781416000</v>
      </c>
      <c r="C152" s="11">
        <v>13835088000</v>
      </c>
      <c r="D152" s="11"/>
      <c r="E152" s="11">
        <v>2086570000</v>
      </c>
      <c r="F152" s="11">
        <v>2794822000</v>
      </c>
      <c r="G152" s="11">
        <v>1492698000</v>
      </c>
      <c r="H152" s="11">
        <v>-511298500</v>
      </c>
      <c r="I152" s="11">
        <v>17499365000</v>
      </c>
      <c r="J152" s="11"/>
      <c r="K152" s="11"/>
      <c r="L152" s="11">
        <v>14729173525.77</v>
      </c>
      <c r="M152" s="11">
        <v>0</v>
      </c>
      <c r="N152" s="11">
        <v>11.35</v>
      </c>
      <c r="O152" s="11">
        <v>68875000</v>
      </c>
      <c r="P152" s="12">
        <f t="shared" si="24"/>
        <v>-1.528297071084699</v>
      </c>
      <c r="Q152" s="12">
        <f t="shared" si="25"/>
        <v>4.4653963158091739E-2</v>
      </c>
      <c r="R152" s="12">
        <f t="shared" si="26"/>
        <v>5.6480739406934023E-2</v>
      </c>
      <c r="S152" s="12">
        <f t="shared" si="27"/>
        <v>0.15081725537271609</v>
      </c>
      <c r="T152" s="12">
        <f t="shared" si="28"/>
        <v>0</v>
      </c>
      <c r="U152" s="13">
        <f t="shared" si="29"/>
        <v>0</v>
      </c>
      <c r="V152" s="13">
        <f t="shared" si="30"/>
        <v>5.2701651574840902</v>
      </c>
      <c r="W152" s="12">
        <f t="shared" si="31"/>
        <v>-2.9194257366293859</v>
      </c>
      <c r="X152" s="12">
        <f t="shared" si="32"/>
        <v>0</v>
      </c>
      <c r="Y152" s="13">
        <f t="shared" si="33"/>
        <v>11.345422867513612</v>
      </c>
      <c r="Z152" s="13">
        <f t="shared" si="34"/>
        <v>18.849337005858597</v>
      </c>
      <c r="AA152" s="13">
        <f t="shared" si="35"/>
        <v>68847224.669603527</v>
      </c>
    </row>
    <row r="153" spans="1:27" x14ac:dyDescent="0.25">
      <c r="A153" s="10" t="s">
        <v>212</v>
      </c>
      <c r="B153" s="11">
        <v>2268000000</v>
      </c>
      <c r="C153" s="11">
        <v>16543000000</v>
      </c>
      <c r="D153" s="11"/>
      <c r="E153" s="11"/>
      <c r="F153" s="11"/>
      <c r="G153" s="11"/>
      <c r="H153" s="11">
        <v>14986500000</v>
      </c>
      <c r="I153" s="11">
        <v>32543000000</v>
      </c>
      <c r="J153" s="11">
        <v>8386000000</v>
      </c>
      <c r="K153" s="11"/>
      <c r="L153" s="11">
        <v>48465999084.129997</v>
      </c>
      <c r="M153" s="11">
        <v>613000000</v>
      </c>
      <c r="N153" s="11">
        <v>3.67</v>
      </c>
      <c r="O153" s="11">
        <v>618000000</v>
      </c>
      <c r="P153" s="12">
        <f t="shared" si="24"/>
        <v>0.15133620258232408</v>
      </c>
      <c r="Q153" s="12">
        <f t="shared" si="25"/>
        <v>6.96924069692407E-2</v>
      </c>
      <c r="R153" s="12">
        <f t="shared" si="26"/>
        <v>0.13709726168167805</v>
      </c>
      <c r="S153" s="12">
        <f t="shared" si="27"/>
        <v>0</v>
      </c>
      <c r="T153" s="12">
        <f t="shared" si="28"/>
        <v>0</v>
      </c>
      <c r="U153" s="13" t="str">
        <f t="shared" si="29"/>
        <v/>
      </c>
      <c r="V153" s="13" t="str">
        <f t="shared" si="30"/>
        <v/>
      </c>
      <c r="W153" s="12">
        <f t="shared" si="31"/>
        <v>0</v>
      </c>
      <c r="X153" s="12">
        <f t="shared" si="32"/>
        <v>0.27028218694885364</v>
      </c>
      <c r="Y153" s="13">
        <f t="shared" si="33"/>
        <v>3.6699029126213594</v>
      </c>
      <c r="Z153" s="13">
        <f t="shared" si="34"/>
        <v>21.369488132332449</v>
      </c>
      <c r="AA153" s="13">
        <f t="shared" si="35"/>
        <v>617983651.22615802</v>
      </c>
    </row>
    <row r="154" spans="1:27" x14ac:dyDescent="0.25">
      <c r="A154" s="10" t="s">
        <v>213</v>
      </c>
      <c r="B154" s="11">
        <v>930400000</v>
      </c>
      <c r="C154" s="11">
        <v>4817900000</v>
      </c>
      <c r="D154" s="11">
        <v>2963200000</v>
      </c>
      <c r="E154" s="11">
        <v>1033400000</v>
      </c>
      <c r="F154" s="11">
        <v>1292300000</v>
      </c>
      <c r="G154" s="11">
        <v>1429400000</v>
      </c>
      <c r="H154" s="11">
        <v>2611750000</v>
      </c>
      <c r="I154" s="11">
        <v>6633300000</v>
      </c>
      <c r="J154" s="11"/>
      <c r="K154" s="11"/>
      <c r="L154" s="11">
        <v>28176443485.189999</v>
      </c>
      <c r="M154" s="11"/>
      <c r="N154" s="11">
        <v>2.36</v>
      </c>
      <c r="O154" s="11">
        <v>393600000</v>
      </c>
      <c r="P154" s="12">
        <f t="shared" si="24"/>
        <v>0.3562362400689193</v>
      </c>
      <c r="Q154" s="12">
        <f t="shared" si="25"/>
        <v>0.14026201136689129</v>
      </c>
      <c r="R154" s="12">
        <f t="shared" si="26"/>
        <v>0.19311318209178271</v>
      </c>
      <c r="S154" s="12">
        <f t="shared" si="27"/>
        <v>0.21449179102928662</v>
      </c>
      <c r="T154" s="12">
        <f t="shared" si="28"/>
        <v>0.61503974760787894</v>
      </c>
      <c r="U154" s="13">
        <f t="shared" si="29"/>
        <v>0</v>
      </c>
      <c r="V154" s="13">
        <f t="shared" si="30"/>
        <v>21.803330097647603</v>
      </c>
      <c r="W154" s="12">
        <f t="shared" si="31"/>
        <v>0.54729587441370731</v>
      </c>
      <c r="X154" s="12">
        <f t="shared" si="32"/>
        <v>0</v>
      </c>
      <c r="Y154" s="13">
        <f t="shared" si="33"/>
        <v>2.3638211382113821</v>
      </c>
      <c r="Z154" s="13">
        <f t="shared" si="34"/>
        <v>30.284225585973772</v>
      </c>
      <c r="AA154" s="13">
        <f t="shared" si="35"/>
        <v>394237288.13559324</v>
      </c>
    </row>
    <row r="155" spans="1:27" x14ac:dyDescent="0.25">
      <c r="A155" s="10" t="s">
        <v>214</v>
      </c>
      <c r="B155" s="11">
        <v>887000000</v>
      </c>
      <c r="C155" s="11">
        <v>7531000000</v>
      </c>
      <c r="D155" s="11">
        <v>5947000000</v>
      </c>
      <c r="E155" s="11">
        <v>1162000000</v>
      </c>
      <c r="F155" s="11">
        <v>1378000000</v>
      </c>
      <c r="G155" s="11"/>
      <c r="H155" s="11">
        <v>6575000000</v>
      </c>
      <c r="I155" s="11">
        <v>13131000000</v>
      </c>
      <c r="J155" s="11"/>
      <c r="K155" s="11"/>
      <c r="L155" s="11">
        <v>51795225922.849998</v>
      </c>
      <c r="M155" s="11">
        <v>191000000</v>
      </c>
      <c r="N155" s="11">
        <v>3.51</v>
      </c>
      <c r="O155" s="11">
        <v>253000000</v>
      </c>
      <c r="P155" s="12">
        <f t="shared" si="24"/>
        <v>0.13490494296577946</v>
      </c>
      <c r="Q155" s="12">
        <f t="shared" si="25"/>
        <v>6.7550072347879062E-2</v>
      </c>
      <c r="R155" s="12">
        <f t="shared" si="26"/>
        <v>0.11777984331430089</v>
      </c>
      <c r="S155" s="12">
        <f t="shared" si="27"/>
        <v>0.15429557827645732</v>
      </c>
      <c r="T155" s="12">
        <f t="shared" si="28"/>
        <v>0.78966936661797904</v>
      </c>
      <c r="U155" s="13">
        <f t="shared" si="29"/>
        <v>0</v>
      </c>
      <c r="V155" s="13">
        <f t="shared" si="30"/>
        <v>37.587246678410736</v>
      </c>
      <c r="W155" s="12">
        <f t="shared" si="31"/>
        <v>0</v>
      </c>
      <c r="X155" s="12">
        <f t="shared" si="32"/>
        <v>0.21533258173618941</v>
      </c>
      <c r="Y155" s="13">
        <f t="shared" si="33"/>
        <v>3.5059288537549409</v>
      </c>
      <c r="Z155" s="13">
        <f t="shared" si="34"/>
        <v>58.393715809301014</v>
      </c>
      <c r="AA155" s="13">
        <f t="shared" si="35"/>
        <v>252706552.70655271</v>
      </c>
    </row>
    <row r="156" spans="1:27" x14ac:dyDescent="0.25">
      <c r="A156" s="10" t="s">
        <v>215</v>
      </c>
      <c r="B156" s="11">
        <v>2040000000</v>
      </c>
      <c r="C156" s="11">
        <v>11604000000</v>
      </c>
      <c r="D156" s="11">
        <v>8356000000</v>
      </c>
      <c r="E156" s="11">
        <v>2272000000</v>
      </c>
      <c r="F156" s="11">
        <v>2693000000</v>
      </c>
      <c r="G156" s="11">
        <v>1719000000</v>
      </c>
      <c r="H156" s="11">
        <v>4620500000</v>
      </c>
      <c r="I156" s="11">
        <v>17893000000</v>
      </c>
      <c r="J156" s="11">
        <v>7721000000</v>
      </c>
      <c r="K156" s="11"/>
      <c r="L156" s="11">
        <v>52094520812.989998</v>
      </c>
      <c r="M156" s="11">
        <v>536000000</v>
      </c>
      <c r="N156" s="11">
        <v>4.46</v>
      </c>
      <c r="O156" s="11">
        <v>457000000</v>
      </c>
      <c r="P156" s="12">
        <f t="shared" si="24"/>
        <v>0.44151065901958664</v>
      </c>
      <c r="Q156" s="12">
        <f t="shared" si="25"/>
        <v>0.11401106577991393</v>
      </c>
      <c r="R156" s="12">
        <f t="shared" si="26"/>
        <v>0.17580144777662876</v>
      </c>
      <c r="S156" s="12">
        <f t="shared" si="27"/>
        <v>0.19579455360220613</v>
      </c>
      <c r="T156" s="12">
        <f t="shared" si="28"/>
        <v>0.72009651844191658</v>
      </c>
      <c r="U156" s="13">
        <f t="shared" si="29"/>
        <v>2.8670627552914967</v>
      </c>
      <c r="V156" s="13">
        <f t="shared" si="30"/>
        <v>22.21148192090234</v>
      </c>
      <c r="W156" s="12">
        <f t="shared" si="31"/>
        <v>0.13928614836122027</v>
      </c>
      <c r="X156" s="12">
        <f t="shared" si="32"/>
        <v>0.2627450980392157</v>
      </c>
      <c r="Y156" s="13">
        <f t="shared" si="33"/>
        <v>4.463894967177243</v>
      </c>
      <c r="Z156" s="13">
        <f t="shared" si="34"/>
        <v>25.536529810289213</v>
      </c>
      <c r="AA156" s="13">
        <f t="shared" si="35"/>
        <v>457399103.13901347</v>
      </c>
    </row>
    <row r="157" spans="1:27" x14ac:dyDescent="0.25">
      <c r="A157" s="10" t="s">
        <v>216</v>
      </c>
      <c r="B157" s="11">
        <v>2105700000</v>
      </c>
      <c r="C157" s="11">
        <v>16452300000</v>
      </c>
      <c r="D157" s="11"/>
      <c r="E157" s="11">
        <v>2804300000</v>
      </c>
      <c r="F157" s="11">
        <v>3496200000</v>
      </c>
      <c r="G157" s="11">
        <v>1870200000</v>
      </c>
      <c r="H157" s="11">
        <v>9439850000</v>
      </c>
      <c r="I157" s="11">
        <v>25040600000</v>
      </c>
      <c r="J157" s="11"/>
      <c r="K157" s="11"/>
      <c r="L157" s="11">
        <v>76840880827.509995</v>
      </c>
      <c r="M157" s="11">
        <v>777500000</v>
      </c>
      <c r="N157" s="11">
        <v>7.42</v>
      </c>
      <c r="O157" s="11">
        <v>283700000</v>
      </c>
      <c r="P157" s="12">
        <f t="shared" si="24"/>
        <v>0.2230649851427724</v>
      </c>
      <c r="Q157" s="12">
        <f t="shared" si="25"/>
        <v>8.4091435508733811E-2</v>
      </c>
      <c r="R157" s="12">
        <f t="shared" si="26"/>
        <v>0.12798818402290257</v>
      </c>
      <c r="S157" s="12">
        <f t="shared" si="27"/>
        <v>0.17045033217240144</v>
      </c>
      <c r="T157" s="12">
        <f t="shared" si="28"/>
        <v>0</v>
      </c>
      <c r="U157" s="13">
        <f t="shared" si="29"/>
        <v>0</v>
      </c>
      <c r="V157" s="13">
        <f t="shared" si="30"/>
        <v>21.978399641756763</v>
      </c>
      <c r="W157" s="12">
        <f t="shared" si="31"/>
        <v>0.19811755483402807</v>
      </c>
      <c r="X157" s="12">
        <f t="shared" si="32"/>
        <v>0.36923588355416254</v>
      </c>
      <c r="Y157" s="13">
        <f t="shared" si="33"/>
        <v>7.4222770532252378</v>
      </c>
      <c r="Z157" s="13">
        <f t="shared" si="34"/>
        <v>36.491846334952747</v>
      </c>
      <c r="AA157" s="13">
        <f t="shared" si="35"/>
        <v>283787061.99460918</v>
      </c>
    </row>
    <row r="158" spans="1:27" x14ac:dyDescent="0.25">
      <c r="A158" s="10" t="s">
        <v>217</v>
      </c>
      <c r="B158" s="11">
        <v>2156000000</v>
      </c>
      <c r="C158" s="11">
        <v>17215000000</v>
      </c>
      <c r="D158" s="11"/>
      <c r="E158" s="11">
        <v>2987000000</v>
      </c>
      <c r="F158" s="11">
        <v>5316000000</v>
      </c>
      <c r="G158" s="11">
        <v>-328000000</v>
      </c>
      <c r="H158" s="11">
        <v>24689500000</v>
      </c>
      <c r="I158" s="11">
        <v>74741000000</v>
      </c>
      <c r="J158" s="11">
        <v>25801000000</v>
      </c>
      <c r="K158" s="11"/>
      <c r="L158" s="11">
        <v>40637769333.220001</v>
      </c>
      <c r="M158" s="11">
        <v>1192000000</v>
      </c>
      <c r="N158" s="11">
        <v>5.92</v>
      </c>
      <c r="O158" s="11">
        <v>364400000</v>
      </c>
      <c r="P158" s="12">
        <f t="shared" si="24"/>
        <v>8.7324571173980847E-2</v>
      </c>
      <c r="Q158" s="12">
        <f t="shared" si="25"/>
        <v>2.8846282495551302E-2</v>
      </c>
      <c r="R158" s="12">
        <f t="shared" si="26"/>
        <v>0.12523961661341854</v>
      </c>
      <c r="S158" s="12">
        <f t="shared" si="27"/>
        <v>0.17351147255300611</v>
      </c>
      <c r="T158" s="12">
        <f t="shared" si="28"/>
        <v>0</v>
      </c>
      <c r="U158" s="13">
        <f t="shared" si="29"/>
        <v>4.8534612490594435</v>
      </c>
      <c r="V158" s="13">
        <f t="shared" si="30"/>
        <v>12.497887383976675</v>
      </c>
      <c r="W158" s="12">
        <f t="shared" si="31"/>
        <v>-6.4962715758409995E-3</v>
      </c>
      <c r="X158" s="12">
        <f t="shared" si="32"/>
        <v>0.55287569573283857</v>
      </c>
      <c r="Y158" s="13">
        <f t="shared" si="33"/>
        <v>5.9165751920965972</v>
      </c>
      <c r="Z158" s="13">
        <f t="shared" si="34"/>
        <v>18.848687074777366</v>
      </c>
      <c r="AA158" s="13">
        <f t="shared" si="35"/>
        <v>364189189.1891892</v>
      </c>
    </row>
    <row r="159" spans="1:27" x14ac:dyDescent="0.25">
      <c r="A159" s="10" t="s">
        <v>218</v>
      </c>
      <c r="B159" s="11">
        <v>698700000</v>
      </c>
      <c r="C159" s="11">
        <v>6281400000</v>
      </c>
      <c r="D159" s="11"/>
      <c r="E159" s="11">
        <v>1147100000</v>
      </c>
      <c r="F159" s="11">
        <v>1882400000</v>
      </c>
      <c r="G159" s="11">
        <v>1139100000</v>
      </c>
      <c r="H159" s="11">
        <v>4760950000</v>
      </c>
      <c r="I159" s="11">
        <v>11942000000</v>
      </c>
      <c r="J159" s="11">
        <v>5114200000</v>
      </c>
      <c r="K159" s="11"/>
      <c r="L159" s="11">
        <v>20104962377.799999</v>
      </c>
      <c r="M159" s="11">
        <v>251400000</v>
      </c>
      <c r="N159" s="11">
        <v>5.78</v>
      </c>
      <c r="O159" s="11">
        <v>120800000</v>
      </c>
      <c r="P159" s="12">
        <f t="shared" si="24"/>
        <v>0.14675642466314495</v>
      </c>
      <c r="Q159" s="12">
        <f t="shared" si="25"/>
        <v>5.8507787640261266E-2</v>
      </c>
      <c r="R159" s="12">
        <f t="shared" si="26"/>
        <v>0.11123316458114434</v>
      </c>
      <c r="S159" s="12">
        <f t="shared" si="27"/>
        <v>0.18261852453274749</v>
      </c>
      <c r="T159" s="12">
        <f t="shared" si="28"/>
        <v>0</v>
      </c>
      <c r="U159" s="13">
        <f t="shared" si="29"/>
        <v>2.7168508287292816</v>
      </c>
      <c r="V159" s="13">
        <f t="shared" si="30"/>
        <v>13.39734507957926</v>
      </c>
      <c r="W159" s="12">
        <f t="shared" si="31"/>
        <v>0.11535014658005195</v>
      </c>
      <c r="X159" s="12">
        <f t="shared" si="32"/>
        <v>0.35981107771575782</v>
      </c>
      <c r="Y159" s="13">
        <f t="shared" si="33"/>
        <v>5.7839403973509933</v>
      </c>
      <c r="Z159" s="13">
        <f t="shared" si="34"/>
        <v>28.774813765278374</v>
      </c>
      <c r="AA159" s="13">
        <f t="shared" si="35"/>
        <v>120882352.94117646</v>
      </c>
    </row>
    <row r="160" spans="1:27" x14ac:dyDescent="0.25">
      <c r="A160" s="10" t="s">
        <v>219</v>
      </c>
      <c r="B160" s="11">
        <v>2034000000</v>
      </c>
      <c r="C160" s="11">
        <v>17301000000</v>
      </c>
      <c r="D160" s="11"/>
      <c r="E160" s="11"/>
      <c r="F160" s="11"/>
      <c r="G160" s="11"/>
      <c r="H160" s="11">
        <v>14715500000</v>
      </c>
      <c r="I160" s="11">
        <v>62342000000</v>
      </c>
      <c r="J160" s="11"/>
      <c r="K160" s="11"/>
      <c r="L160" s="11">
        <v>14681064342</v>
      </c>
      <c r="M160" s="11">
        <v>330000000</v>
      </c>
      <c r="N160" s="11">
        <v>51.11</v>
      </c>
      <c r="O160" s="11">
        <v>39800000</v>
      </c>
      <c r="P160" s="12">
        <f t="shared" si="24"/>
        <v>0.13822160307159118</v>
      </c>
      <c r="Q160" s="12">
        <f t="shared" si="25"/>
        <v>3.2626479740784704E-2</v>
      </c>
      <c r="R160" s="12">
        <f t="shared" si="26"/>
        <v>0.11756545864400901</v>
      </c>
      <c r="S160" s="12">
        <f t="shared" si="27"/>
        <v>0</v>
      </c>
      <c r="T160" s="12">
        <f t="shared" si="28"/>
        <v>0</v>
      </c>
      <c r="U160" s="13" t="str">
        <f t="shared" si="29"/>
        <v/>
      </c>
      <c r="V160" s="13" t="str">
        <f t="shared" si="30"/>
        <v/>
      </c>
      <c r="W160" s="12">
        <f t="shared" si="31"/>
        <v>0</v>
      </c>
      <c r="X160" s="12">
        <f t="shared" si="32"/>
        <v>0.16224188790560473</v>
      </c>
      <c r="Y160" s="13">
        <f t="shared" si="33"/>
        <v>51.105527638190956</v>
      </c>
      <c r="Z160" s="13">
        <f t="shared" si="34"/>
        <v>7.217829076696165</v>
      </c>
      <c r="AA160" s="13">
        <f t="shared" si="35"/>
        <v>39796517.315593816</v>
      </c>
    </row>
    <row r="161" spans="1:27" x14ac:dyDescent="0.25">
      <c r="A161" s="10" t="s">
        <v>220</v>
      </c>
      <c r="B161" s="11">
        <v>3554000000</v>
      </c>
      <c r="C161" s="11">
        <v>19609000000</v>
      </c>
      <c r="D161" s="11"/>
      <c r="E161" s="11">
        <v>6033000000</v>
      </c>
      <c r="F161" s="11">
        <v>9362000000</v>
      </c>
      <c r="G161" s="11">
        <v>-643000000</v>
      </c>
      <c r="H161" s="11">
        <v>16971000000</v>
      </c>
      <c r="I161" s="11">
        <v>94475000000</v>
      </c>
      <c r="J161" s="11">
        <v>40307000000</v>
      </c>
      <c r="K161" s="11"/>
      <c r="L161" s="11">
        <v>28721019521.380001</v>
      </c>
      <c r="M161" s="11">
        <v>1293000000</v>
      </c>
      <c r="N161" s="11">
        <v>9.18</v>
      </c>
      <c r="O161" s="11">
        <v>387000000</v>
      </c>
      <c r="P161" s="12">
        <f t="shared" si="24"/>
        <v>0.2094160626951859</v>
      </c>
      <c r="Q161" s="12">
        <f t="shared" si="25"/>
        <v>3.761841757078592E-2</v>
      </c>
      <c r="R161" s="12">
        <f t="shared" si="26"/>
        <v>0.18124330664490795</v>
      </c>
      <c r="S161" s="12">
        <f t="shared" si="27"/>
        <v>0.30766484777398134</v>
      </c>
      <c r="T161" s="12">
        <f t="shared" si="28"/>
        <v>0</v>
      </c>
      <c r="U161" s="13">
        <f t="shared" si="29"/>
        <v>4.3053834650715661</v>
      </c>
      <c r="V161" s="13">
        <f t="shared" si="30"/>
        <v>7.3732129375539417</v>
      </c>
      <c r="W161" s="12">
        <f t="shared" si="31"/>
        <v>-1.1225950626767695E-2</v>
      </c>
      <c r="X161" s="12">
        <f t="shared" si="32"/>
        <v>0.36381541924592009</v>
      </c>
      <c r="Y161" s="13">
        <f t="shared" si="33"/>
        <v>9.1834625322997407</v>
      </c>
      <c r="Z161" s="13">
        <f t="shared" si="34"/>
        <v>8.0813223189026449</v>
      </c>
      <c r="AA161" s="13">
        <f t="shared" si="35"/>
        <v>387145969.49891067</v>
      </c>
    </row>
    <row r="162" spans="1:27" x14ac:dyDescent="0.25">
      <c r="A162" s="10" t="s">
        <v>221</v>
      </c>
      <c r="B162" s="11">
        <v>684000000</v>
      </c>
      <c r="C162" s="11">
        <v>14833000000</v>
      </c>
      <c r="D162" s="11">
        <v>11081000000</v>
      </c>
      <c r="E162" s="11">
        <v>429000000</v>
      </c>
      <c r="F162" s="11">
        <v>1237000000</v>
      </c>
      <c r="G162" s="11">
        <v>1285000000</v>
      </c>
      <c r="H162" s="11">
        <v>4169000000</v>
      </c>
      <c r="I162" s="11">
        <v>19664000000</v>
      </c>
      <c r="J162" s="11"/>
      <c r="K162" s="11"/>
      <c r="L162" s="11">
        <v>29663564307.970001</v>
      </c>
      <c r="M162" s="11">
        <v>507000000</v>
      </c>
      <c r="N162" s="11">
        <v>1.88</v>
      </c>
      <c r="O162" s="11">
        <v>364500000</v>
      </c>
      <c r="P162" s="12">
        <f t="shared" si="24"/>
        <v>0.164068121851763</v>
      </c>
      <c r="Q162" s="12">
        <f t="shared" si="25"/>
        <v>3.4784377542717654E-2</v>
      </c>
      <c r="R162" s="12">
        <f t="shared" si="26"/>
        <v>4.6113395806647341E-2</v>
      </c>
      <c r="S162" s="12">
        <f t="shared" si="27"/>
        <v>2.8921998247151623E-2</v>
      </c>
      <c r="T162" s="12">
        <f t="shared" si="28"/>
        <v>0.74705049551675318</v>
      </c>
      <c r="U162" s="13">
        <f t="shared" si="29"/>
        <v>0</v>
      </c>
      <c r="V162" s="13">
        <f t="shared" si="30"/>
        <v>23.980246004826192</v>
      </c>
      <c r="W162" s="12">
        <f t="shared" si="31"/>
        <v>0.30822739266011034</v>
      </c>
      <c r="X162" s="12">
        <f t="shared" si="32"/>
        <v>0.74122807017543857</v>
      </c>
      <c r="Y162" s="13">
        <f t="shared" si="33"/>
        <v>1.8765432098765431</v>
      </c>
      <c r="Z162" s="13">
        <f t="shared" si="34"/>
        <v>43.367784075979536</v>
      </c>
      <c r="AA162" s="13">
        <f t="shared" si="35"/>
        <v>363829787.23404258</v>
      </c>
    </row>
    <row r="163" spans="1:27" x14ac:dyDescent="0.25">
      <c r="A163" s="10" t="s">
        <v>222</v>
      </c>
      <c r="B163" s="11">
        <v>5243000000</v>
      </c>
      <c r="C163" s="11">
        <v>200415000000</v>
      </c>
      <c r="D163" s="11"/>
      <c r="E163" s="11">
        <v>6115000000</v>
      </c>
      <c r="F163" s="11"/>
      <c r="G163" s="11">
        <v>6450000000</v>
      </c>
      <c r="H163" s="11">
        <v>43202500000</v>
      </c>
      <c r="I163" s="11">
        <v>125827000000</v>
      </c>
      <c r="J163" s="11">
        <v>31118000000</v>
      </c>
      <c r="K163" s="11"/>
      <c r="L163" s="11">
        <v>91292896109.289993</v>
      </c>
      <c r="M163" s="11">
        <v>1519000000</v>
      </c>
      <c r="N163" s="11">
        <v>23.79</v>
      </c>
      <c r="O163" s="11">
        <v>220400000</v>
      </c>
      <c r="P163" s="12">
        <f t="shared" si="24"/>
        <v>0.12135871766680169</v>
      </c>
      <c r="Q163" s="12">
        <f t="shared" si="25"/>
        <v>4.1668322379139609E-2</v>
      </c>
      <c r="R163" s="12">
        <f t="shared" si="26"/>
        <v>2.6160716513235038E-2</v>
      </c>
      <c r="S163" s="12">
        <f t="shared" si="27"/>
        <v>3.0511688246887707E-2</v>
      </c>
      <c r="T163" s="12">
        <f t="shared" si="28"/>
        <v>0</v>
      </c>
      <c r="U163" s="13" t="str">
        <f t="shared" si="29"/>
        <v/>
      </c>
      <c r="V163" s="13" t="str">
        <f t="shared" si="30"/>
        <v/>
      </c>
      <c r="W163" s="12">
        <f t="shared" si="31"/>
        <v>8.6786283730599226E-2</v>
      </c>
      <c r="X163" s="12">
        <f t="shared" si="32"/>
        <v>0.28971962616822428</v>
      </c>
      <c r="Y163" s="13">
        <f t="shared" si="33"/>
        <v>23.788566243194193</v>
      </c>
      <c r="Z163" s="13">
        <f t="shared" si="34"/>
        <v>17.412339521131031</v>
      </c>
      <c r="AA163" s="13">
        <f t="shared" si="35"/>
        <v>220386717.10802859</v>
      </c>
    </row>
    <row r="164" spans="1:27" x14ac:dyDescent="0.25">
      <c r="A164" s="10" t="s">
        <v>223</v>
      </c>
      <c r="B164" s="11">
        <v>1337624000</v>
      </c>
      <c r="C164" s="11">
        <v>17747283000</v>
      </c>
      <c r="D164" s="11">
        <v>3424220000</v>
      </c>
      <c r="E164" s="11">
        <v>1798507000</v>
      </c>
      <c r="F164" s="11">
        <v>1850329000</v>
      </c>
      <c r="G164" s="11">
        <v>1078819000</v>
      </c>
      <c r="H164" s="11">
        <v>3408248000</v>
      </c>
      <c r="I164" s="11">
        <v>9508107000</v>
      </c>
      <c r="J164" s="11"/>
      <c r="K164" s="11"/>
      <c r="L164" s="11">
        <v>34887257117.529999</v>
      </c>
      <c r="M164" s="11">
        <v>51382000</v>
      </c>
      <c r="N164" s="11">
        <v>29.93</v>
      </c>
      <c r="O164" s="11">
        <v>44687157</v>
      </c>
      <c r="P164" s="12">
        <f t="shared" si="24"/>
        <v>0.39246674537768378</v>
      </c>
      <c r="Q164" s="12">
        <f t="shared" si="25"/>
        <v>0.14068247233650188</v>
      </c>
      <c r="R164" s="12">
        <f t="shared" si="26"/>
        <v>7.537063560658834E-2</v>
      </c>
      <c r="S164" s="12">
        <f t="shared" si="27"/>
        <v>0.10133985016185294</v>
      </c>
      <c r="T164" s="12">
        <f t="shared" si="28"/>
        <v>0.19294333673498079</v>
      </c>
      <c r="U164" s="13">
        <f t="shared" si="29"/>
        <v>0</v>
      </c>
      <c r="V164" s="13">
        <f t="shared" si="30"/>
        <v>18.854623754764692</v>
      </c>
      <c r="W164" s="12">
        <f t="shared" si="31"/>
        <v>0.31653183688510927</v>
      </c>
      <c r="X164" s="12">
        <f t="shared" si="32"/>
        <v>3.8412887328576638E-2</v>
      </c>
      <c r="Y164" s="13">
        <f t="shared" si="33"/>
        <v>29.933074507290765</v>
      </c>
      <c r="Z164" s="13">
        <f t="shared" si="34"/>
        <v>26.081512530823311</v>
      </c>
      <c r="AA164" s="13">
        <f t="shared" si="35"/>
        <v>44691747.410624795</v>
      </c>
    </row>
    <row r="165" spans="1:27" x14ac:dyDescent="0.25">
      <c r="A165" s="10" t="s">
        <v>224</v>
      </c>
      <c r="B165" s="11">
        <v>2446000000</v>
      </c>
      <c r="C165" s="11">
        <v>1660000000</v>
      </c>
      <c r="D165" s="11">
        <v>9519000000</v>
      </c>
      <c r="E165" s="11"/>
      <c r="F165" s="11"/>
      <c r="G165" s="11">
        <v>3115000000</v>
      </c>
      <c r="H165" s="11">
        <v>19776000000</v>
      </c>
      <c r="I165" s="11">
        <v>42088000000</v>
      </c>
      <c r="J165" s="11">
        <v>8924000000</v>
      </c>
      <c r="K165" s="11"/>
      <c r="L165" s="11">
        <v>77181781709.289993</v>
      </c>
      <c r="M165" s="11">
        <v>1218000000</v>
      </c>
      <c r="N165" s="11">
        <v>4.34</v>
      </c>
      <c r="O165" s="11">
        <v>563500000</v>
      </c>
      <c r="P165" s="12">
        <f t="shared" si="24"/>
        <v>0.12368527508090615</v>
      </c>
      <c r="Q165" s="12">
        <f t="shared" si="25"/>
        <v>5.8116327694354687E-2</v>
      </c>
      <c r="R165" s="12">
        <f t="shared" si="26"/>
        <v>1.4734939759036145</v>
      </c>
      <c r="S165" s="12">
        <f t="shared" si="27"/>
        <v>0</v>
      </c>
      <c r="T165" s="12">
        <f t="shared" si="28"/>
        <v>5.73433734939759</v>
      </c>
      <c r="U165" s="13" t="str">
        <f t="shared" si="29"/>
        <v/>
      </c>
      <c r="V165" s="13" t="str">
        <f t="shared" si="30"/>
        <v/>
      </c>
      <c r="W165" s="12">
        <f t="shared" si="31"/>
        <v>0.10853658536585366</v>
      </c>
      <c r="X165" s="12">
        <f t="shared" si="32"/>
        <v>0.49795584627964024</v>
      </c>
      <c r="Y165" s="13">
        <f t="shared" si="33"/>
        <v>4.3407275953859807</v>
      </c>
      <c r="Z165" s="13">
        <f t="shared" si="34"/>
        <v>31.554285245008174</v>
      </c>
      <c r="AA165" s="13">
        <f t="shared" si="35"/>
        <v>563594470.04608297</v>
      </c>
    </row>
    <row r="166" spans="1:27" x14ac:dyDescent="0.25">
      <c r="A166" s="10" t="s">
        <v>225</v>
      </c>
      <c r="B166" s="11">
        <v>5497000000</v>
      </c>
      <c r="C166" s="11">
        <v>23884000000</v>
      </c>
      <c r="D166" s="11"/>
      <c r="E166" s="11">
        <v>7124000000</v>
      </c>
      <c r="F166" s="11">
        <v>11765000000</v>
      </c>
      <c r="G166" s="11"/>
      <c r="H166" s="11">
        <v>30212000000</v>
      </c>
      <c r="I166" s="11">
        <v>53378000000</v>
      </c>
      <c r="J166" s="11">
        <v>7904000000</v>
      </c>
      <c r="K166" s="11"/>
      <c r="L166" s="11">
        <v>71127210320.199997</v>
      </c>
      <c r="M166" s="11"/>
      <c r="N166" s="11">
        <v>10.27</v>
      </c>
      <c r="O166" s="11">
        <v>535000000</v>
      </c>
      <c r="P166" s="12">
        <f t="shared" si="24"/>
        <v>0.18194757050178736</v>
      </c>
      <c r="Q166" s="12">
        <f t="shared" si="25"/>
        <v>0.10298250215444565</v>
      </c>
      <c r="R166" s="12">
        <f t="shared" si="26"/>
        <v>0.23015407804387875</v>
      </c>
      <c r="S166" s="12">
        <f t="shared" si="27"/>
        <v>0.29827499581309663</v>
      </c>
      <c r="T166" s="12">
        <f t="shared" si="28"/>
        <v>0</v>
      </c>
      <c r="U166" s="13">
        <f t="shared" si="29"/>
        <v>0.67182320441988952</v>
      </c>
      <c r="V166" s="13">
        <f t="shared" si="30"/>
        <v>6.7174849400934971</v>
      </c>
      <c r="W166" s="12">
        <f t="shared" si="31"/>
        <v>0</v>
      </c>
      <c r="X166" s="12">
        <f t="shared" si="32"/>
        <v>0</v>
      </c>
      <c r="Y166" s="13">
        <f t="shared" si="33"/>
        <v>10.274766355140187</v>
      </c>
      <c r="Z166" s="13">
        <f t="shared" si="34"/>
        <v>12.939277846134255</v>
      </c>
      <c r="AA166" s="13">
        <f t="shared" si="35"/>
        <v>535248296.00778967</v>
      </c>
    </row>
    <row r="167" spans="1:27" x14ac:dyDescent="0.25">
      <c r="A167" s="10" t="s">
        <v>226</v>
      </c>
      <c r="B167" s="11">
        <v>1422000000</v>
      </c>
      <c r="C167" s="11">
        <v>5998545000</v>
      </c>
      <c r="D167" s="11"/>
      <c r="E167" s="11">
        <v>1967000000</v>
      </c>
      <c r="F167" s="11">
        <v>4079000000</v>
      </c>
      <c r="G167" s="11">
        <v>-998000000</v>
      </c>
      <c r="H167" s="11">
        <v>14093500000</v>
      </c>
      <c r="I167" s="11">
        <v>40898000000</v>
      </c>
      <c r="J167" s="11">
        <v>19785000000</v>
      </c>
      <c r="K167" s="11"/>
      <c r="L167" s="11">
        <v>102063275046.2</v>
      </c>
      <c r="M167" s="11">
        <v>1907000000</v>
      </c>
      <c r="N167" s="11">
        <v>14.4</v>
      </c>
      <c r="O167" s="11">
        <v>98727000</v>
      </c>
      <c r="P167" s="12">
        <f t="shared" si="24"/>
        <v>0.10089757689715118</v>
      </c>
      <c r="Q167" s="12">
        <f t="shared" si="25"/>
        <v>3.4769426377817984E-2</v>
      </c>
      <c r="R167" s="12">
        <f t="shared" si="26"/>
        <v>0.23705748644046182</v>
      </c>
      <c r="S167" s="12">
        <f t="shared" si="27"/>
        <v>0.32791285219999183</v>
      </c>
      <c r="T167" s="12">
        <f t="shared" si="28"/>
        <v>0</v>
      </c>
      <c r="U167" s="13">
        <f t="shared" si="29"/>
        <v>4.8504535425349351</v>
      </c>
      <c r="V167" s="13">
        <f t="shared" si="30"/>
        <v>29.872094887521449</v>
      </c>
      <c r="W167" s="12">
        <f t="shared" si="31"/>
        <v>-2.9458210959753237E-2</v>
      </c>
      <c r="X167" s="12">
        <f t="shared" si="32"/>
        <v>1.3410689170182841</v>
      </c>
      <c r="Y167" s="13">
        <f t="shared" si="33"/>
        <v>14.403354705399739</v>
      </c>
      <c r="Z167" s="13">
        <f t="shared" si="34"/>
        <v>71.774455025457101</v>
      </c>
      <c r="AA167" s="13">
        <f t="shared" si="35"/>
        <v>98750000</v>
      </c>
    </row>
    <row r="168" spans="1:27" x14ac:dyDescent="0.25">
      <c r="A168" s="10" t="s">
        <v>227</v>
      </c>
      <c r="B168" s="11">
        <v>953576000</v>
      </c>
      <c r="C168" s="11"/>
      <c r="D168" s="11"/>
      <c r="E168" s="11"/>
      <c r="F168" s="11">
        <v>2161735000</v>
      </c>
      <c r="G168" s="11"/>
      <c r="H168" s="11">
        <v>10859126500</v>
      </c>
      <c r="I168" s="11">
        <v>20517153000</v>
      </c>
      <c r="J168" s="11">
        <v>8241242000</v>
      </c>
      <c r="K168" s="11"/>
      <c r="L168" s="11">
        <v>25514148512.720001</v>
      </c>
      <c r="M168" s="11">
        <v>1051767000</v>
      </c>
      <c r="N168" s="11">
        <v>2.48</v>
      </c>
      <c r="O168" s="11">
        <v>385108000</v>
      </c>
      <c r="P168" s="12">
        <f t="shared" si="24"/>
        <v>8.7813324580020322E-2</v>
      </c>
      <c r="Q168" s="12">
        <f t="shared" si="25"/>
        <v>4.6477013648043665E-2</v>
      </c>
      <c r="R168" s="12" t="str">
        <f t="shared" si="26"/>
        <v/>
      </c>
      <c r="S168" s="12" t="str">
        <f t="shared" si="27"/>
        <v/>
      </c>
      <c r="T168" s="12" t="str">
        <f t="shared" si="28"/>
        <v/>
      </c>
      <c r="U168" s="13">
        <f t="shared" si="29"/>
        <v>3.8123275979710742</v>
      </c>
      <c r="V168" s="13">
        <f t="shared" si="30"/>
        <v>15.614953041293221</v>
      </c>
      <c r="W168" s="12">
        <f t="shared" si="31"/>
        <v>0</v>
      </c>
      <c r="X168" s="12">
        <f t="shared" si="32"/>
        <v>1.1029713415606097</v>
      </c>
      <c r="Y168" s="13">
        <f t="shared" si="33"/>
        <v>2.4761261775917407</v>
      </c>
      <c r="Z168" s="13">
        <f t="shared" si="34"/>
        <v>26.756282155507272</v>
      </c>
      <c r="AA168" s="13">
        <f t="shared" si="35"/>
        <v>384506451.61290324</v>
      </c>
    </row>
    <row r="169" spans="1:27" x14ac:dyDescent="0.25">
      <c r="A169" s="10" t="s">
        <v>228</v>
      </c>
      <c r="B169" s="11">
        <v>3284337000</v>
      </c>
      <c r="C169" s="11">
        <v>10283097000</v>
      </c>
      <c r="D169" s="11"/>
      <c r="E169" s="11">
        <v>4789329000</v>
      </c>
      <c r="F169" s="11">
        <v>7423736000</v>
      </c>
      <c r="G169" s="11">
        <v>4052551000</v>
      </c>
      <c r="H169" s="11">
        <v>22918320500</v>
      </c>
      <c r="I169" s="11">
        <v>41692278000</v>
      </c>
      <c r="J169" s="11">
        <v>5992411000</v>
      </c>
      <c r="K169" s="11"/>
      <c r="L169" s="11">
        <v>31367722654.400002</v>
      </c>
      <c r="M169" s="11">
        <v>398606000</v>
      </c>
      <c r="N169" s="11">
        <v>5.22</v>
      </c>
      <c r="O169" s="11">
        <v>629209000</v>
      </c>
      <c r="P169" s="12">
        <f t="shared" si="24"/>
        <v>0.14330618162007117</v>
      </c>
      <c r="Q169" s="12">
        <f t="shared" si="25"/>
        <v>7.8775666803334657E-2</v>
      </c>
      <c r="R169" s="12">
        <f t="shared" si="26"/>
        <v>0.31939181357522933</v>
      </c>
      <c r="S169" s="12">
        <f t="shared" si="27"/>
        <v>0.46574772172235662</v>
      </c>
      <c r="T169" s="12">
        <f t="shared" si="28"/>
        <v>0</v>
      </c>
      <c r="U169" s="13">
        <f t="shared" si="29"/>
        <v>0.80719613412976965</v>
      </c>
      <c r="V169" s="13">
        <f t="shared" si="30"/>
        <v>5.0325245475324021</v>
      </c>
      <c r="W169" s="12">
        <f t="shared" si="31"/>
        <v>0.14017462685093249</v>
      </c>
      <c r="X169" s="12">
        <f t="shared" si="32"/>
        <v>0.121365742918586</v>
      </c>
      <c r="Y169" s="13">
        <f t="shared" si="33"/>
        <v>5.2197870659828451</v>
      </c>
      <c r="Z169" s="13">
        <f t="shared" si="34"/>
        <v>9.5507016041289319</v>
      </c>
      <c r="AA169" s="13">
        <f t="shared" si="35"/>
        <v>629183333.33333337</v>
      </c>
    </row>
    <row r="170" spans="1:27" x14ac:dyDescent="0.25">
      <c r="A170" s="10" t="s">
        <v>229</v>
      </c>
      <c r="B170" s="11">
        <v>571392000</v>
      </c>
      <c r="C170" s="11">
        <v>4089770000</v>
      </c>
      <c r="D170" s="11"/>
      <c r="E170" s="11">
        <v>732595000</v>
      </c>
      <c r="F170" s="11">
        <v>802045000</v>
      </c>
      <c r="G170" s="11">
        <v>536999000</v>
      </c>
      <c r="H170" s="11">
        <v>2210436000</v>
      </c>
      <c r="I170" s="11">
        <v>3376678000</v>
      </c>
      <c r="J170" s="11">
        <v>0</v>
      </c>
      <c r="K170" s="11"/>
      <c r="L170" s="11">
        <v>12957952061.42</v>
      </c>
      <c r="M170" s="11">
        <v>258815000</v>
      </c>
      <c r="N170" s="11">
        <v>224780.49</v>
      </c>
      <c r="O170" s="11">
        <v>2542</v>
      </c>
      <c r="P170" s="12">
        <f t="shared" si="24"/>
        <v>0.25849741860881742</v>
      </c>
      <c r="Q170" s="12">
        <f t="shared" si="25"/>
        <v>0.16921720104789381</v>
      </c>
      <c r="R170" s="12">
        <f t="shared" si="26"/>
        <v>0.13971250217004869</v>
      </c>
      <c r="S170" s="12">
        <f t="shared" si="27"/>
        <v>0.17912865515664694</v>
      </c>
      <c r="T170" s="12">
        <f t="shared" si="28"/>
        <v>0</v>
      </c>
      <c r="U170" s="13">
        <f t="shared" si="29"/>
        <v>0</v>
      </c>
      <c r="V170" s="13">
        <f t="shared" si="30"/>
        <v>16.156140941493309</v>
      </c>
      <c r="W170" s="12">
        <f t="shared" si="31"/>
        <v>0.24293804480202097</v>
      </c>
      <c r="X170" s="12">
        <f t="shared" si="32"/>
        <v>0.45295523913530467</v>
      </c>
      <c r="Y170" s="13">
        <f t="shared" si="33"/>
        <v>224780.48780487804</v>
      </c>
      <c r="Z170" s="13">
        <f t="shared" si="34"/>
        <v>22.677867491004424</v>
      </c>
      <c r="AA170" s="13">
        <f t="shared" si="35"/>
        <v>2541.9999751757814</v>
      </c>
    </row>
    <row r="171" spans="1:27" x14ac:dyDescent="0.25">
      <c r="A171" s="10" t="s">
        <v>230</v>
      </c>
      <c r="B171" s="11">
        <v>-434700000</v>
      </c>
      <c r="C171" s="11">
        <v>13933252000</v>
      </c>
      <c r="D171" s="11"/>
      <c r="E171" s="11">
        <v>3138343000</v>
      </c>
      <c r="F171" s="11">
        <v>5531143000</v>
      </c>
      <c r="G171" s="11">
        <v>236707000</v>
      </c>
      <c r="H171" s="11">
        <v>15936103500</v>
      </c>
      <c r="I171" s="11">
        <v>64707601000</v>
      </c>
      <c r="J171" s="11">
        <v>26861131000</v>
      </c>
      <c r="K171" s="11"/>
      <c r="L171" s="11">
        <v>27803596363.02</v>
      </c>
      <c r="M171" s="11"/>
      <c r="N171" s="11">
        <v>-1.1499999999999999</v>
      </c>
      <c r="O171" s="11">
        <v>376583614</v>
      </c>
      <c r="P171" s="12">
        <f t="shared" si="24"/>
        <v>-2.7277684284618256E-2</v>
      </c>
      <c r="Q171" s="12">
        <f t="shared" si="25"/>
        <v>-6.7179124752283735E-3</v>
      </c>
      <c r="R171" s="12">
        <f t="shared" si="26"/>
        <v>-3.1198746710387495E-2</v>
      </c>
      <c r="S171" s="12">
        <f t="shared" si="27"/>
        <v>0.2252412430350072</v>
      </c>
      <c r="T171" s="12">
        <f t="shared" si="28"/>
        <v>0</v>
      </c>
      <c r="U171" s="13">
        <f t="shared" si="29"/>
        <v>4.8563436165002427</v>
      </c>
      <c r="V171" s="13">
        <f t="shared" si="30"/>
        <v>9.8830797473542091</v>
      </c>
      <c r="W171" s="12">
        <f t="shared" si="31"/>
        <v>5.5308947590994462E-3</v>
      </c>
      <c r="X171" s="12">
        <f t="shared" si="32"/>
        <v>0</v>
      </c>
      <c r="Y171" s="13">
        <f t="shared" si="33"/>
        <v>-1.1543253180421176</v>
      </c>
      <c r="Z171" s="13">
        <f t="shared" si="34"/>
        <v>-63.96042411552795</v>
      </c>
      <c r="AA171" s="13">
        <f t="shared" si="35"/>
        <v>378000000</v>
      </c>
    </row>
    <row r="172" spans="1:27" x14ac:dyDescent="0.25">
      <c r="A172" s="10" t="s">
        <v>231</v>
      </c>
      <c r="B172" s="11">
        <v>602203000</v>
      </c>
      <c r="C172" s="11">
        <v>1907518000</v>
      </c>
      <c r="D172" s="11">
        <v>1336697000</v>
      </c>
      <c r="E172" s="11">
        <v>797428000</v>
      </c>
      <c r="F172" s="11">
        <v>1408578000</v>
      </c>
      <c r="G172" s="11"/>
      <c r="H172" s="11">
        <v>5502794000</v>
      </c>
      <c r="I172" s="11">
        <v>13095487000</v>
      </c>
      <c r="J172" s="11">
        <v>6836802000</v>
      </c>
      <c r="K172" s="11"/>
      <c r="L172" s="11">
        <v>18707877143.900002</v>
      </c>
      <c r="M172" s="11"/>
      <c r="N172" s="11">
        <v>9.34</v>
      </c>
      <c r="O172" s="11">
        <v>64461621</v>
      </c>
      <c r="P172" s="12">
        <f t="shared" si="24"/>
        <v>0.10943586112800152</v>
      </c>
      <c r="Q172" s="12">
        <f t="shared" si="25"/>
        <v>4.5985536849450503E-2</v>
      </c>
      <c r="R172" s="12">
        <f t="shared" si="26"/>
        <v>0.31569977321314924</v>
      </c>
      <c r="S172" s="12">
        <f t="shared" si="27"/>
        <v>0.41804481006208066</v>
      </c>
      <c r="T172" s="12">
        <f t="shared" si="28"/>
        <v>0.70075197193420979</v>
      </c>
      <c r="U172" s="13">
        <f t="shared" si="29"/>
        <v>4.8536907434306089</v>
      </c>
      <c r="V172" s="13">
        <f t="shared" si="30"/>
        <v>18.135083143354503</v>
      </c>
      <c r="W172" s="12">
        <f t="shared" si="31"/>
        <v>0</v>
      </c>
      <c r="X172" s="12">
        <f t="shared" si="32"/>
        <v>0</v>
      </c>
      <c r="Y172" s="13">
        <f t="shared" si="33"/>
        <v>9.3420393508255088</v>
      </c>
      <c r="Z172" s="13">
        <f t="shared" si="34"/>
        <v>31.065732226342284</v>
      </c>
      <c r="AA172" s="13">
        <f t="shared" si="35"/>
        <v>64475695.931477517</v>
      </c>
    </row>
    <row r="173" spans="1:27" x14ac:dyDescent="0.25">
      <c r="A173" s="10" t="s">
        <v>232</v>
      </c>
      <c r="B173" s="11">
        <v>3989000000</v>
      </c>
      <c r="C173" s="11">
        <v>28522000000</v>
      </c>
      <c r="D173" s="11"/>
      <c r="E173" s="11"/>
      <c r="F173" s="11"/>
      <c r="G173" s="11">
        <v>3776000000</v>
      </c>
      <c r="H173" s="11">
        <v>19113500000</v>
      </c>
      <c r="I173" s="11">
        <v>55085000000</v>
      </c>
      <c r="J173" s="11">
        <v>18619000000</v>
      </c>
      <c r="K173" s="11"/>
      <c r="L173" s="11">
        <v>157583783786.01001</v>
      </c>
      <c r="M173" s="11">
        <v>1644000000</v>
      </c>
      <c r="N173" s="11">
        <v>10.25</v>
      </c>
      <c r="O173" s="11">
        <v>389200000</v>
      </c>
      <c r="P173" s="12">
        <f t="shared" si="24"/>
        <v>0.20870065660397102</v>
      </c>
      <c r="Q173" s="12">
        <f t="shared" si="25"/>
        <v>7.2415358082962691E-2</v>
      </c>
      <c r="R173" s="12">
        <f t="shared" si="26"/>
        <v>0.13985695252787322</v>
      </c>
      <c r="S173" s="12">
        <f t="shared" si="27"/>
        <v>0</v>
      </c>
      <c r="T173" s="12">
        <f t="shared" si="28"/>
        <v>0</v>
      </c>
      <c r="U173" s="13" t="str">
        <f t="shared" si="29"/>
        <v/>
      </c>
      <c r="V173" s="13" t="str">
        <f t="shared" si="30"/>
        <v/>
      </c>
      <c r="W173" s="12">
        <f t="shared" si="31"/>
        <v>0.1000728814682303</v>
      </c>
      <c r="X173" s="12">
        <f t="shared" si="32"/>
        <v>0.41213336675858614</v>
      </c>
      <c r="Y173" s="13">
        <f t="shared" si="33"/>
        <v>10.249229188078109</v>
      </c>
      <c r="Z173" s="13">
        <f t="shared" si="34"/>
        <v>39.504583551268489</v>
      </c>
      <c r="AA173" s="13">
        <f t="shared" si="35"/>
        <v>389170731.70731705</v>
      </c>
    </row>
    <row r="174" spans="1:27" x14ac:dyDescent="0.25">
      <c r="A174" s="10" t="s">
        <v>233</v>
      </c>
      <c r="B174" s="11">
        <v>2356536000</v>
      </c>
      <c r="C174" s="11">
        <v>13287438000</v>
      </c>
      <c r="D174" s="11"/>
      <c r="E174" s="11">
        <v>3074396000</v>
      </c>
      <c r="F174" s="11">
        <v>5410039000</v>
      </c>
      <c r="G174" s="11">
        <v>-2833619000</v>
      </c>
      <c r="H174" s="11">
        <v>16266026000</v>
      </c>
      <c r="I174" s="11">
        <v>75804140000</v>
      </c>
      <c r="J174" s="11">
        <v>32676089000</v>
      </c>
      <c r="K174" s="11"/>
      <c r="L174" s="11">
        <v>53159178746.089996</v>
      </c>
      <c r="M174" s="11">
        <v>1108769000</v>
      </c>
      <c r="N174" s="11">
        <v>5.0999999999999996</v>
      </c>
      <c r="O174" s="11">
        <v>462510666</v>
      </c>
      <c r="P174" s="12">
        <f t="shared" si="24"/>
        <v>0.14487472232000612</v>
      </c>
      <c r="Q174" s="12">
        <f t="shared" si="25"/>
        <v>3.1087167534649164E-2</v>
      </c>
      <c r="R174" s="12">
        <f t="shared" si="26"/>
        <v>0.17735066760048099</v>
      </c>
      <c r="S174" s="12">
        <f t="shared" si="27"/>
        <v>0.23137613135052823</v>
      </c>
      <c r="T174" s="12">
        <f t="shared" si="28"/>
        <v>0</v>
      </c>
      <c r="U174" s="13">
        <f t="shared" si="29"/>
        <v>6.0398989730018586</v>
      </c>
      <c r="V174" s="13">
        <f t="shared" si="30"/>
        <v>15.86592402496359</v>
      </c>
      <c r="W174" s="12">
        <f t="shared" si="31"/>
        <v>-5.7897354865027797E-2</v>
      </c>
      <c r="X174" s="12">
        <f t="shared" si="32"/>
        <v>0.4705079829037197</v>
      </c>
      <c r="Y174" s="13">
        <f t="shared" si="33"/>
        <v>5.095095471809076</v>
      </c>
      <c r="Z174" s="13">
        <f t="shared" si="34"/>
        <v>22.558186569647141</v>
      </c>
      <c r="AA174" s="13">
        <f t="shared" si="35"/>
        <v>462065882.35294122</v>
      </c>
    </row>
    <row r="175" spans="1:27" x14ac:dyDescent="0.25">
      <c r="A175" s="10" t="s">
        <v>234</v>
      </c>
      <c r="B175" s="11">
        <v>882100000</v>
      </c>
      <c r="C175" s="11">
        <v>6030800000</v>
      </c>
      <c r="D175" s="11"/>
      <c r="E175" s="11">
        <v>1559700000</v>
      </c>
      <c r="F175" s="11">
        <v>2739800000</v>
      </c>
      <c r="G175" s="11">
        <v>-1097900000</v>
      </c>
      <c r="H175" s="11">
        <v>10043600000</v>
      </c>
      <c r="I175" s="11">
        <v>34481500000</v>
      </c>
      <c r="J175" s="11">
        <v>13147000000</v>
      </c>
      <c r="K175" s="11"/>
      <c r="L175" s="11">
        <v>19658150490.610001</v>
      </c>
      <c r="M175" s="11">
        <v>617100000</v>
      </c>
      <c r="N175" s="11">
        <v>3.74</v>
      </c>
      <c r="O175" s="11">
        <v>235600000</v>
      </c>
      <c r="P175" s="12">
        <f t="shared" si="24"/>
        <v>8.7827073957545104E-2</v>
      </c>
      <c r="Q175" s="12">
        <f t="shared" si="25"/>
        <v>2.55818337369314E-2</v>
      </c>
      <c r="R175" s="12">
        <f t="shared" si="26"/>
        <v>0.14626583537839094</v>
      </c>
      <c r="S175" s="12">
        <f t="shared" si="27"/>
        <v>0.25862240498772965</v>
      </c>
      <c r="T175" s="12">
        <f t="shared" si="28"/>
        <v>0</v>
      </c>
      <c r="U175" s="13">
        <f t="shared" si="29"/>
        <v>4.7985254398131252</v>
      </c>
      <c r="V175" s="13">
        <f t="shared" si="30"/>
        <v>11.973556643043288</v>
      </c>
      <c r="W175" s="12">
        <f t="shared" si="31"/>
        <v>-4.7342457719938252E-2</v>
      </c>
      <c r="X175" s="12">
        <f t="shared" si="32"/>
        <v>0.69958054642330803</v>
      </c>
      <c r="Y175" s="13">
        <f t="shared" si="33"/>
        <v>3.7440577249575551</v>
      </c>
      <c r="Z175" s="13">
        <f t="shared" si="34"/>
        <v>22.285625768745042</v>
      </c>
      <c r="AA175" s="13">
        <f t="shared" si="35"/>
        <v>235855614.97326201</v>
      </c>
    </row>
    <row r="176" spans="1:27" x14ac:dyDescent="0.25">
      <c r="A176" s="10" t="s">
        <v>235</v>
      </c>
      <c r="B176" s="11">
        <v>1096200000</v>
      </c>
      <c r="C176" s="11">
        <v>6303500000</v>
      </c>
      <c r="D176" s="11">
        <v>4908300000</v>
      </c>
      <c r="E176" s="11">
        <v>1347000000</v>
      </c>
      <c r="F176" s="11">
        <v>1507900000</v>
      </c>
      <c r="G176" s="11">
        <v>1089500000</v>
      </c>
      <c r="H176" s="11">
        <v>10228100000</v>
      </c>
      <c r="I176" s="11">
        <v>13321200000</v>
      </c>
      <c r="J176" s="11">
        <v>598500000</v>
      </c>
      <c r="K176" s="11"/>
      <c r="L176" s="11">
        <v>52587815054.32</v>
      </c>
      <c r="M176" s="11"/>
      <c r="N176" s="11">
        <v>1.89</v>
      </c>
      <c r="O176" s="11">
        <v>580700000</v>
      </c>
      <c r="P176" s="12">
        <f t="shared" si="24"/>
        <v>0.10717533070658285</v>
      </c>
      <c r="Q176" s="12">
        <f t="shared" si="25"/>
        <v>8.2289883794252769E-2</v>
      </c>
      <c r="R176" s="12">
        <f t="shared" si="26"/>
        <v>0.17390338700721822</v>
      </c>
      <c r="S176" s="12">
        <f t="shared" si="27"/>
        <v>0.21369080669469342</v>
      </c>
      <c r="T176" s="12">
        <f t="shared" si="28"/>
        <v>0.77866264773538507</v>
      </c>
      <c r="U176" s="13">
        <f t="shared" si="29"/>
        <v>0.39690960939054315</v>
      </c>
      <c r="V176" s="13">
        <f t="shared" si="30"/>
        <v>35.271778668558923</v>
      </c>
      <c r="W176" s="12">
        <f t="shared" si="31"/>
        <v>0.10063177728926902</v>
      </c>
      <c r="X176" s="12">
        <f t="shared" si="32"/>
        <v>0</v>
      </c>
      <c r="Y176" s="13">
        <f t="shared" si="33"/>
        <v>1.887721715171345</v>
      </c>
      <c r="Z176" s="13">
        <f t="shared" si="34"/>
        <v>47.972828912899104</v>
      </c>
      <c r="AA176" s="13">
        <f t="shared" si="35"/>
        <v>580000000</v>
      </c>
    </row>
    <row r="177" spans="1:27" x14ac:dyDescent="0.25">
      <c r="A177" s="10" t="s">
        <v>236</v>
      </c>
      <c r="B177" s="11">
        <v>2779000000</v>
      </c>
      <c r="C177" s="11">
        <v>24786000000</v>
      </c>
      <c r="D177" s="11"/>
      <c r="E177" s="11">
        <v>5217000000</v>
      </c>
      <c r="F177" s="11">
        <v>8542000000</v>
      </c>
      <c r="G177" s="11">
        <v>-2163000000</v>
      </c>
      <c r="H177" s="11">
        <v>28461000000</v>
      </c>
      <c r="I177" s="11">
        <v>117545000000</v>
      </c>
      <c r="J177" s="11">
        <v>49428000000</v>
      </c>
      <c r="K177" s="11"/>
      <c r="L177" s="11">
        <v>47456394718.860001</v>
      </c>
      <c r="M177" s="11">
        <v>1644000000</v>
      </c>
      <c r="N177" s="11">
        <v>2.71</v>
      </c>
      <c r="O177" s="11">
        <v>1026000000</v>
      </c>
      <c r="P177" s="12">
        <f t="shared" si="24"/>
        <v>9.7642387828958926E-2</v>
      </c>
      <c r="Q177" s="12">
        <f t="shared" si="25"/>
        <v>2.3642009443191968E-2</v>
      </c>
      <c r="R177" s="12">
        <f t="shared" si="26"/>
        <v>0.1121197450173485</v>
      </c>
      <c r="S177" s="12">
        <f t="shared" si="27"/>
        <v>0.21048172355361897</v>
      </c>
      <c r="T177" s="12">
        <f t="shared" si="28"/>
        <v>0</v>
      </c>
      <c r="U177" s="13">
        <f t="shared" si="29"/>
        <v>5.7864668695855768</v>
      </c>
      <c r="V177" s="13">
        <f t="shared" si="30"/>
        <v>11.342120664816202</v>
      </c>
      <c r="W177" s="12">
        <f t="shared" si="31"/>
        <v>-2.7770288487462928E-2</v>
      </c>
      <c r="X177" s="12">
        <f t="shared" si="32"/>
        <v>0.59157970492983092</v>
      </c>
      <c r="Y177" s="13">
        <f t="shared" si="33"/>
        <v>2.7085769980506824</v>
      </c>
      <c r="Z177" s="13">
        <f t="shared" si="34"/>
        <v>17.076788311932351</v>
      </c>
      <c r="AA177" s="13">
        <f t="shared" si="35"/>
        <v>1025461254.6125461</v>
      </c>
    </row>
    <row r="178" spans="1:27" x14ac:dyDescent="0.25">
      <c r="A178" s="10" t="s">
        <v>237</v>
      </c>
      <c r="B178" s="11">
        <v>3227000000</v>
      </c>
      <c r="C178" s="11">
        <v>14325000000</v>
      </c>
      <c r="D178" s="11"/>
      <c r="E178" s="11">
        <v>4270000000</v>
      </c>
      <c r="F178" s="11">
        <v>7250000000</v>
      </c>
      <c r="G178" s="11">
        <v>3001000000</v>
      </c>
      <c r="H178" s="11">
        <v>18368500000</v>
      </c>
      <c r="I178" s="11">
        <v>29521000000</v>
      </c>
      <c r="J178" s="11">
        <v>5008000000</v>
      </c>
      <c r="K178" s="11"/>
      <c r="L178" s="11">
        <v>21284190987.560001</v>
      </c>
      <c r="M178" s="11">
        <v>764000000</v>
      </c>
      <c r="N178" s="11">
        <v>13.4</v>
      </c>
      <c r="O178" s="11">
        <v>240759000</v>
      </c>
      <c r="P178" s="12">
        <f t="shared" si="24"/>
        <v>0.17568119334730653</v>
      </c>
      <c r="Q178" s="12">
        <f t="shared" si="25"/>
        <v>0.10931201517563768</v>
      </c>
      <c r="R178" s="12">
        <f t="shared" si="26"/>
        <v>0.22527050610820246</v>
      </c>
      <c r="S178" s="12">
        <f t="shared" si="27"/>
        <v>0.29808027923211167</v>
      </c>
      <c r="T178" s="12">
        <f t="shared" si="28"/>
        <v>0</v>
      </c>
      <c r="U178" s="13">
        <f t="shared" si="29"/>
        <v>0.69075862068965521</v>
      </c>
      <c r="V178" s="13">
        <f t="shared" si="30"/>
        <v>3.626509101732414</v>
      </c>
      <c r="W178" s="12">
        <f t="shared" si="31"/>
        <v>0.12837678865527347</v>
      </c>
      <c r="X178" s="12">
        <f t="shared" si="32"/>
        <v>0.23675240161140379</v>
      </c>
      <c r="Y178" s="13">
        <f t="shared" si="33"/>
        <v>13.403444938714648</v>
      </c>
      <c r="Z178" s="13">
        <f t="shared" si="34"/>
        <v>6.5956588123830189</v>
      </c>
      <c r="AA178" s="13">
        <f t="shared" si="35"/>
        <v>240820895.52238804</v>
      </c>
    </row>
    <row r="179" spans="1:27" x14ac:dyDescent="0.25">
      <c r="A179" s="10" t="s">
        <v>238</v>
      </c>
      <c r="B179" s="11">
        <v>836147000</v>
      </c>
      <c r="C179" s="11">
        <v>11185552000</v>
      </c>
      <c r="D179" s="11"/>
      <c r="E179" s="11">
        <v>1081516000</v>
      </c>
      <c r="F179" s="11">
        <v>1137556000</v>
      </c>
      <c r="G179" s="11">
        <v>920552000</v>
      </c>
      <c r="H179" s="11">
        <v>2285080500</v>
      </c>
      <c r="I179" s="11">
        <v>4781680000</v>
      </c>
      <c r="J179" s="11"/>
      <c r="K179" s="11"/>
      <c r="L179" s="11">
        <v>22315582473.830002</v>
      </c>
      <c r="M179" s="11">
        <v>207437000</v>
      </c>
      <c r="N179" s="11">
        <v>6.24</v>
      </c>
      <c r="O179" s="11">
        <v>134076000</v>
      </c>
      <c r="P179" s="12">
        <f t="shared" si="24"/>
        <v>0.3659157740832325</v>
      </c>
      <c r="Q179" s="12">
        <f t="shared" si="25"/>
        <v>0.17486469190744675</v>
      </c>
      <c r="R179" s="12">
        <f t="shared" si="26"/>
        <v>7.4752412755311498E-2</v>
      </c>
      <c r="S179" s="12">
        <f t="shared" si="27"/>
        <v>9.6688656938879722E-2</v>
      </c>
      <c r="T179" s="12">
        <f t="shared" si="28"/>
        <v>0</v>
      </c>
      <c r="U179" s="13">
        <f t="shared" si="29"/>
        <v>0</v>
      </c>
      <c r="V179" s="13">
        <f t="shared" si="30"/>
        <v>19.617128716151118</v>
      </c>
      <c r="W179" s="12">
        <f t="shared" si="31"/>
        <v>0.40285320363987176</v>
      </c>
      <c r="X179" s="12">
        <f t="shared" si="32"/>
        <v>0.2480867598639952</v>
      </c>
      <c r="Y179" s="13">
        <f t="shared" si="33"/>
        <v>6.2363659417047046</v>
      </c>
      <c r="Z179" s="13">
        <f t="shared" si="34"/>
        <v>26.688587621351271</v>
      </c>
      <c r="AA179" s="13">
        <f t="shared" si="35"/>
        <v>133997916.66666666</v>
      </c>
    </row>
    <row r="180" spans="1:27" x14ac:dyDescent="0.25">
      <c r="A180" s="10" t="s">
        <v>239</v>
      </c>
      <c r="B180" s="11">
        <v>1488000000</v>
      </c>
      <c r="C180" s="11">
        <v>15171000000</v>
      </c>
      <c r="D180" s="11"/>
      <c r="E180" s="11">
        <v>2192000000</v>
      </c>
      <c r="F180" s="11">
        <v>3088000000</v>
      </c>
      <c r="G180" s="11">
        <v>4101000000</v>
      </c>
      <c r="H180" s="11">
        <v>824000000</v>
      </c>
      <c r="I180" s="11">
        <v>26459000000</v>
      </c>
      <c r="J180" s="11">
        <v>4470000000</v>
      </c>
      <c r="K180" s="11"/>
      <c r="L180" s="11">
        <v>32139511632.549999</v>
      </c>
      <c r="M180" s="11">
        <v>207000000</v>
      </c>
      <c r="N180" s="11">
        <v>12.21</v>
      </c>
      <c r="O180" s="11">
        <v>121827000</v>
      </c>
      <c r="P180" s="12">
        <f t="shared" si="24"/>
        <v>1.8058252427184467</v>
      </c>
      <c r="Q180" s="12">
        <f t="shared" si="25"/>
        <v>5.6237953059450473E-2</v>
      </c>
      <c r="R180" s="12">
        <f t="shared" si="26"/>
        <v>9.808186671939885E-2</v>
      </c>
      <c r="S180" s="12">
        <f t="shared" si="27"/>
        <v>0.14448619075868432</v>
      </c>
      <c r="T180" s="12">
        <f t="shared" si="28"/>
        <v>0</v>
      </c>
      <c r="U180" s="13">
        <f t="shared" si="29"/>
        <v>1.447538860103627</v>
      </c>
      <c r="V180" s="13">
        <f t="shared" si="30"/>
        <v>11.855411798105571</v>
      </c>
      <c r="W180" s="12">
        <f t="shared" si="31"/>
        <v>0.77465054778995091</v>
      </c>
      <c r="X180" s="12">
        <f t="shared" si="32"/>
        <v>0.13911290322580644</v>
      </c>
      <c r="Y180" s="13">
        <f t="shared" si="33"/>
        <v>12.214041222389126</v>
      </c>
      <c r="Z180" s="13">
        <f t="shared" si="34"/>
        <v>21.599134161659947</v>
      </c>
      <c r="AA180" s="13">
        <f t="shared" si="35"/>
        <v>121867321.86732186</v>
      </c>
    </row>
    <row r="181" spans="1:27" x14ac:dyDescent="0.25">
      <c r="A181" s="10" t="s">
        <v>240</v>
      </c>
      <c r="B181" s="11">
        <v>944101000</v>
      </c>
      <c r="C181" s="11">
        <v>3413572000</v>
      </c>
      <c r="D181" s="11"/>
      <c r="E181" s="11">
        <v>1391514000</v>
      </c>
      <c r="F181" s="11">
        <v>2112130000</v>
      </c>
      <c r="G181" s="11">
        <v>1420586000</v>
      </c>
      <c r="H181" s="11">
        <v>13609633500</v>
      </c>
      <c r="I181" s="11">
        <v>29099370000</v>
      </c>
      <c r="J181" s="11"/>
      <c r="K181" s="11"/>
      <c r="L181" s="11">
        <v>30142708801.16</v>
      </c>
      <c r="M181" s="11">
        <v>1372848000</v>
      </c>
      <c r="N181" s="11">
        <v>4.29</v>
      </c>
      <c r="O181" s="11">
        <v>220322872</v>
      </c>
      <c r="P181" s="12">
        <f t="shared" si="24"/>
        <v>6.9370053205326951E-2</v>
      </c>
      <c r="Q181" s="12">
        <f t="shared" si="25"/>
        <v>3.244403572998316E-2</v>
      </c>
      <c r="R181" s="12">
        <f t="shared" si="26"/>
        <v>0.27657275135840109</v>
      </c>
      <c r="S181" s="12">
        <f t="shared" si="27"/>
        <v>0.40764161412151262</v>
      </c>
      <c r="T181" s="12">
        <f t="shared" si="28"/>
        <v>0</v>
      </c>
      <c r="U181" s="13">
        <f t="shared" si="29"/>
        <v>0</v>
      </c>
      <c r="V181" s="13">
        <f t="shared" si="30"/>
        <v>14.271237471727593</v>
      </c>
      <c r="W181" s="12">
        <f t="shared" si="31"/>
        <v>0.10438091518041247</v>
      </c>
      <c r="X181" s="12">
        <f t="shared" si="32"/>
        <v>1.4541325557329141</v>
      </c>
      <c r="Y181" s="13">
        <f t="shared" si="33"/>
        <v>4.2850793992917815</v>
      </c>
      <c r="Z181" s="13">
        <f t="shared" si="34"/>
        <v>31.927419631119974</v>
      </c>
      <c r="AA181" s="13">
        <f t="shared" si="35"/>
        <v>220070163.17016315</v>
      </c>
    </row>
    <row r="182" spans="1:27" x14ac:dyDescent="0.25">
      <c r="A182" s="10" t="s">
        <v>241</v>
      </c>
      <c r="B182" s="11">
        <v>5018000000</v>
      </c>
      <c r="C182" s="11">
        <v>184992000000</v>
      </c>
      <c r="D182" s="11"/>
      <c r="E182" s="11">
        <v>-7159000000</v>
      </c>
      <c r="F182" s="11">
        <v>8850000000</v>
      </c>
      <c r="G182" s="11">
        <v>9546000000</v>
      </c>
      <c r="H182" s="11">
        <v>41044000000</v>
      </c>
      <c r="I182" s="11">
        <v>282434000000</v>
      </c>
      <c r="J182" s="11">
        <v>291000000</v>
      </c>
      <c r="K182" s="11"/>
      <c r="L182" s="11">
        <v>54231665326.260002</v>
      </c>
      <c r="M182" s="11">
        <v>2400000000</v>
      </c>
      <c r="N182" s="11">
        <v>1.23</v>
      </c>
      <c r="O182" s="11">
        <v>4071000000</v>
      </c>
      <c r="P182" s="12">
        <f t="shared" si="24"/>
        <v>0.12225903908001169</v>
      </c>
      <c r="Q182" s="12">
        <f t="shared" si="25"/>
        <v>1.7766982728708299E-2</v>
      </c>
      <c r="R182" s="12">
        <f t="shared" si="26"/>
        <v>2.7125497318802975E-2</v>
      </c>
      <c r="S182" s="12">
        <f t="shared" si="27"/>
        <v>-3.8698970766303409E-2</v>
      </c>
      <c r="T182" s="12">
        <f t="shared" si="28"/>
        <v>0</v>
      </c>
      <c r="U182" s="13">
        <f t="shared" si="29"/>
        <v>3.2881355932203392E-2</v>
      </c>
      <c r="V182" s="13">
        <f t="shared" si="30"/>
        <v>6.1607531442101697</v>
      </c>
      <c r="W182" s="12">
        <f t="shared" si="31"/>
        <v>0.23094230071368091</v>
      </c>
      <c r="X182" s="12">
        <f t="shared" si="32"/>
        <v>0.47827819848545239</v>
      </c>
      <c r="Y182" s="13">
        <f t="shared" si="33"/>
        <v>1.2326209776467698</v>
      </c>
      <c r="Z182" s="13">
        <f t="shared" si="34"/>
        <v>10.807426330462336</v>
      </c>
      <c r="AA182" s="13">
        <f t="shared" si="35"/>
        <v>4079674796.7479677</v>
      </c>
    </row>
    <row r="183" spans="1:27" x14ac:dyDescent="0.25">
      <c r="A183" s="10" t="s">
        <v>242</v>
      </c>
      <c r="B183" s="11">
        <v>284000000</v>
      </c>
      <c r="C183" s="11">
        <v>15218000000</v>
      </c>
      <c r="D183" s="11"/>
      <c r="E183" s="11">
        <v>-291000000</v>
      </c>
      <c r="F183" s="11">
        <v>4943000000</v>
      </c>
      <c r="G183" s="11"/>
      <c r="H183" s="11">
        <v>37473000000</v>
      </c>
      <c r="I183" s="11">
        <v>70080000000</v>
      </c>
      <c r="J183" s="11">
        <v>13149000000</v>
      </c>
      <c r="K183" s="11"/>
      <c r="L183" s="11">
        <v>51199020054</v>
      </c>
      <c r="M183" s="11">
        <v>1161000000</v>
      </c>
      <c r="N183" s="11">
        <v>1</v>
      </c>
      <c r="O183" s="11">
        <v>282792000</v>
      </c>
      <c r="P183" s="12">
        <f t="shared" si="24"/>
        <v>7.5787900621781014E-3</v>
      </c>
      <c r="Q183" s="12">
        <f t="shared" si="25"/>
        <v>4.0525114155251143E-3</v>
      </c>
      <c r="R183" s="12">
        <f t="shared" si="26"/>
        <v>1.8662110658430806E-2</v>
      </c>
      <c r="S183" s="12">
        <f t="shared" si="27"/>
        <v>-1.9122092259166775E-2</v>
      </c>
      <c r="T183" s="12">
        <f t="shared" si="28"/>
        <v>0</v>
      </c>
      <c r="U183" s="13">
        <f t="shared" si="29"/>
        <v>2.6601254299008699</v>
      </c>
      <c r="V183" s="13">
        <f t="shared" si="30"/>
        <v>13.018009317013959</v>
      </c>
      <c r="W183" s="12">
        <f t="shared" si="31"/>
        <v>0</v>
      </c>
      <c r="X183" s="12">
        <f t="shared" si="32"/>
        <v>4.0880281690140849</v>
      </c>
      <c r="Y183" s="13">
        <f t="shared" si="33"/>
        <v>1.0042716908540552</v>
      </c>
      <c r="Z183" s="13">
        <f t="shared" si="34"/>
        <v>180.27823962676055</v>
      </c>
      <c r="AA183" s="13">
        <f t="shared" si="35"/>
        <v>284000000</v>
      </c>
    </row>
    <row r="184" spans="1:27" x14ac:dyDescent="0.25">
      <c r="A184" s="10" t="s">
        <v>243</v>
      </c>
      <c r="B184" s="11">
        <v>1299500000</v>
      </c>
      <c r="C184" s="11">
        <v>8442800000</v>
      </c>
      <c r="D184" s="11">
        <v>3790200000</v>
      </c>
      <c r="E184" s="11">
        <v>1709400000</v>
      </c>
      <c r="F184" s="11">
        <v>1888600000</v>
      </c>
      <c r="G184" s="11">
        <v>1163600000</v>
      </c>
      <c r="H184" s="11">
        <v>3839900000</v>
      </c>
      <c r="I184" s="11">
        <v>5209800000</v>
      </c>
      <c r="J184" s="11">
        <v>125000000</v>
      </c>
      <c r="K184" s="11"/>
      <c r="L184" s="11">
        <v>53211423325.589996</v>
      </c>
      <c r="M184" s="11">
        <v>1033100000</v>
      </c>
      <c r="N184" s="11">
        <v>1.1299999999999999</v>
      </c>
      <c r="O184" s="11">
        <v>1150900401</v>
      </c>
      <c r="P184" s="12">
        <f t="shared" si="24"/>
        <v>0.33842027136123337</v>
      </c>
      <c r="Q184" s="12">
        <f t="shared" si="25"/>
        <v>0.24943375945333793</v>
      </c>
      <c r="R184" s="12">
        <f t="shared" si="26"/>
        <v>0.15391813142559341</v>
      </c>
      <c r="S184" s="12">
        <f t="shared" si="27"/>
        <v>0.20246837542047663</v>
      </c>
      <c r="T184" s="12">
        <f t="shared" si="28"/>
        <v>0.44892689629033022</v>
      </c>
      <c r="U184" s="13">
        <f t="shared" si="29"/>
        <v>6.6186593243672556E-2</v>
      </c>
      <c r="V184" s="13">
        <f t="shared" si="30"/>
        <v>28.241249245785237</v>
      </c>
      <c r="W184" s="12">
        <f t="shared" si="31"/>
        <v>0.29347524527730839</v>
      </c>
      <c r="X184" s="12">
        <f t="shared" si="32"/>
        <v>0.79499807618314733</v>
      </c>
      <c r="Y184" s="13">
        <f t="shared" si="33"/>
        <v>1.1291159503210566</v>
      </c>
      <c r="Z184" s="13">
        <f t="shared" si="34"/>
        <v>40.947613178599461</v>
      </c>
      <c r="AA184" s="13">
        <f t="shared" si="35"/>
        <v>1150000000</v>
      </c>
    </row>
    <row r="185" spans="1:27" x14ac:dyDescent="0.25">
      <c r="A185" s="10" t="s">
        <v>244</v>
      </c>
      <c r="B185" s="11">
        <v>4746000000</v>
      </c>
      <c r="C185" s="11">
        <v>26421000000</v>
      </c>
      <c r="D185" s="11"/>
      <c r="E185" s="11">
        <v>7352000000</v>
      </c>
      <c r="F185" s="11">
        <v>9644000000</v>
      </c>
      <c r="G185" s="11">
        <v>1752000000</v>
      </c>
      <c r="H185" s="11">
        <v>18596500000</v>
      </c>
      <c r="I185" s="11">
        <v>58840000000</v>
      </c>
      <c r="J185" s="11">
        <v>9414000000</v>
      </c>
      <c r="K185" s="11"/>
      <c r="L185" s="11">
        <v>87015496873.619995</v>
      </c>
      <c r="M185" s="11">
        <v>865000000</v>
      </c>
      <c r="N185" s="11">
        <v>3.29</v>
      </c>
      <c r="O185" s="11">
        <v>1444000000</v>
      </c>
      <c r="P185" s="12">
        <f t="shared" si="24"/>
        <v>0.25520931358051246</v>
      </c>
      <c r="Q185" s="12">
        <f t="shared" si="25"/>
        <v>8.0659415363698167E-2</v>
      </c>
      <c r="R185" s="12">
        <f t="shared" si="26"/>
        <v>0.17962983990007947</v>
      </c>
      <c r="S185" s="12">
        <f t="shared" si="27"/>
        <v>0.27826350251693727</v>
      </c>
      <c r="T185" s="12">
        <f t="shared" si="28"/>
        <v>0</v>
      </c>
      <c r="U185" s="13">
        <f t="shared" si="29"/>
        <v>0.9761509746992949</v>
      </c>
      <c r="V185" s="13">
        <f t="shared" si="30"/>
        <v>9.9989109159705514</v>
      </c>
      <c r="W185" s="12">
        <f t="shared" si="31"/>
        <v>6.2547973081523003E-2</v>
      </c>
      <c r="X185" s="12">
        <f t="shared" si="32"/>
        <v>0.18225874420564686</v>
      </c>
      <c r="Y185" s="13">
        <f t="shared" si="33"/>
        <v>3.2867036011080333</v>
      </c>
      <c r="Z185" s="13">
        <f t="shared" si="34"/>
        <v>18.334491545221237</v>
      </c>
      <c r="AA185" s="13">
        <f t="shared" si="35"/>
        <v>1442553191.4893618</v>
      </c>
    </row>
    <row r="186" spans="1:27" x14ac:dyDescent="0.25">
      <c r="A186" s="10" t="s">
        <v>245</v>
      </c>
      <c r="B186" s="11">
        <v>565970000</v>
      </c>
      <c r="C186" s="11">
        <v>2438459000</v>
      </c>
      <c r="D186" s="11"/>
      <c r="E186" s="11">
        <v>720654000</v>
      </c>
      <c r="F186" s="11">
        <v>897081000</v>
      </c>
      <c r="G186" s="11">
        <v>768806000</v>
      </c>
      <c r="H186" s="11">
        <v>2093736000</v>
      </c>
      <c r="I186" s="11">
        <v>4191997000</v>
      </c>
      <c r="J186" s="11">
        <v>1389701000</v>
      </c>
      <c r="K186" s="11"/>
      <c r="L186" s="11">
        <v>8603304634.6299992</v>
      </c>
      <c r="M186" s="11">
        <v>164328000</v>
      </c>
      <c r="N186" s="11">
        <v>15.31</v>
      </c>
      <c r="O186" s="11">
        <v>36957000</v>
      </c>
      <c r="P186" s="12">
        <f t="shared" si="24"/>
        <v>0.27031583733574815</v>
      </c>
      <c r="Q186" s="12">
        <f t="shared" si="25"/>
        <v>0.13501202410211649</v>
      </c>
      <c r="R186" s="12">
        <f t="shared" si="26"/>
        <v>0.23210150344951463</v>
      </c>
      <c r="S186" s="12">
        <f t="shared" si="27"/>
        <v>0.29553664835045412</v>
      </c>
      <c r="T186" s="12">
        <f t="shared" si="28"/>
        <v>0</v>
      </c>
      <c r="U186" s="13">
        <f t="shared" si="29"/>
        <v>1.5491365885577779</v>
      </c>
      <c r="V186" s="13">
        <f t="shared" si="30"/>
        <v>11.13946860387189</v>
      </c>
      <c r="W186" s="12">
        <f t="shared" si="31"/>
        <v>0.22070328816051504</v>
      </c>
      <c r="X186" s="12">
        <f t="shared" si="32"/>
        <v>0.29034754492287579</v>
      </c>
      <c r="Y186" s="13">
        <f t="shared" si="33"/>
        <v>15.314284168087237</v>
      </c>
      <c r="Z186" s="13">
        <f t="shared" si="34"/>
        <v>15.200990573051573</v>
      </c>
      <c r="AA186" s="13">
        <f t="shared" si="35"/>
        <v>36967341.606792942</v>
      </c>
    </row>
    <row r="187" spans="1:27" x14ac:dyDescent="0.25">
      <c r="A187" s="10" t="s">
        <v>246</v>
      </c>
      <c r="B187" s="11">
        <v>4484000000</v>
      </c>
      <c r="C187" s="11">
        <v>91933000000</v>
      </c>
      <c r="D187" s="11"/>
      <c r="E187" s="11">
        <v>5705000000</v>
      </c>
      <c r="F187" s="11">
        <v>10034000000</v>
      </c>
      <c r="G187" s="11">
        <v>4371000000</v>
      </c>
      <c r="H187" s="11">
        <v>28256000000</v>
      </c>
      <c r="I187" s="11">
        <v>94733000000</v>
      </c>
      <c r="J187" s="11">
        <v>19899000000</v>
      </c>
      <c r="K187" s="11"/>
      <c r="L187" s="11">
        <v>74168523161.240005</v>
      </c>
      <c r="M187" s="11">
        <v>1359000000</v>
      </c>
      <c r="N187" s="11">
        <v>18.84</v>
      </c>
      <c r="O187" s="11">
        <v>238000000</v>
      </c>
      <c r="P187" s="12">
        <f t="shared" si="24"/>
        <v>0.15869195922989807</v>
      </c>
      <c r="Q187" s="12">
        <f t="shared" si="25"/>
        <v>4.733303072846843E-2</v>
      </c>
      <c r="R187" s="12">
        <f t="shared" si="26"/>
        <v>4.8774651104608789E-2</v>
      </c>
      <c r="S187" s="12">
        <f t="shared" si="27"/>
        <v>6.2056062567304449E-2</v>
      </c>
      <c r="T187" s="12">
        <f t="shared" si="28"/>
        <v>0</v>
      </c>
      <c r="U187" s="13">
        <f t="shared" si="29"/>
        <v>1.9831572652979867</v>
      </c>
      <c r="V187" s="13">
        <f t="shared" si="30"/>
        <v>9.3748777318357597</v>
      </c>
      <c r="W187" s="12">
        <f t="shared" si="31"/>
        <v>9.0769390509812059E-2</v>
      </c>
      <c r="X187" s="12">
        <f t="shared" si="32"/>
        <v>0.30307760927743088</v>
      </c>
      <c r="Y187" s="13">
        <f t="shared" si="33"/>
        <v>18.840336134453782</v>
      </c>
      <c r="Z187" s="13">
        <f t="shared" si="34"/>
        <v>16.540705432925961</v>
      </c>
      <c r="AA187" s="13">
        <f t="shared" si="35"/>
        <v>238004246.28450108</v>
      </c>
    </row>
    <row r="188" spans="1:27" x14ac:dyDescent="0.25">
      <c r="A188" s="10" t="s">
        <v>247</v>
      </c>
      <c r="B188" s="11">
        <v>1065000000</v>
      </c>
      <c r="C188" s="11">
        <v>15527000000</v>
      </c>
      <c r="D188" s="11"/>
      <c r="E188" s="11">
        <v>2280000000</v>
      </c>
      <c r="F188" s="11">
        <v>3597000000</v>
      </c>
      <c r="G188" s="11">
        <v>-1744000000</v>
      </c>
      <c r="H188" s="11">
        <v>12610500000</v>
      </c>
      <c r="I188" s="11">
        <v>56917000000</v>
      </c>
      <c r="J188" s="11"/>
      <c r="K188" s="11"/>
      <c r="L188" s="11">
        <v>27550677483.080002</v>
      </c>
      <c r="M188" s="11">
        <v>1028000000</v>
      </c>
      <c r="N188" s="11">
        <v>1.84</v>
      </c>
      <c r="O188" s="11">
        <v>580000000</v>
      </c>
      <c r="P188" s="12">
        <f t="shared" si="24"/>
        <v>8.4453431664089446E-2</v>
      </c>
      <c r="Q188" s="12">
        <f t="shared" si="25"/>
        <v>1.8711457033926595E-2</v>
      </c>
      <c r="R188" s="12">
        <f t="shared" si="26"/>
        <v>6.8590197720100471E-2</v>
      </c>
      <c r="S188" s="12">
        <f t="shared" si="27"/>
        <v>0.1468409866683841</v>
      </c>
      <c r="T188" s="12">
        <f t="shared" si="28"/>
        <v>0</v>
      </c>
      <c r="U188" s="13">
        <f t="shared" si="29"/>
        <v>0</v>
      </c>
      <c r="V188" s="13">
        <f t="shared" si="30"/>
        <v>7.6593487581540174</v>
      </c>
      <c r="W188" s="12">
        <f t="shared" si="31"/>
        <v>-0.1382974505372507</v>
      </c>
      <c r="X188" s="12">
        <f t="shared" si="32"/>
        <v>0.96525821596244132</v>
      </c>
      <c r="Y188" s="13">
        <f t="shared" si="33"/>
        <v>1.8362068965517242</v>
      </c>
      <c r="Z188" s="13">
        <f t="shared" si="34"/>
        <v>25.869180735286388</v>
      </c>
      <c r="AA188" s="13">
        <f t="shared" si="35"/>
        <v>578804347.82608688</v>
      </c>
    </row>
    <row r="189" spans="1:27" x14ac:dyDescent="0.25">
      <c r="A189" s="10" t="s">
        <v>248</v>
      </c>
      <c r="B189" s="11">
        <v>708214000</v>
      </c>
      <c r="C189" s="11">
        <v>3224625000</v>
      </c>
      <c r="D189" s="11">
        <v>2629431000</v>
      </c>
      <c r="E189" s="11">
        <v>795175000</v>
      </c>
      <c r="F189" s="11">
        <v>891622000</v>
      </c>
      <c r="G189" s="11">
        <v>962665000</v>
      </c>
      <c r="H189" s="11"/>
      <c r="I189" s="11">
        <v>6497472000</v>
      </c>
      <c r="J189" s="11">
        <v>0</v>
      </c>
      <c r="K189" s="11"/>
      <c r="L189" s="11">
        <v>24278330782.27</v>
      </c>
      <c r="M189" s="11"/>
      <c r="N189" s="11">
        <v>12.27</v>
      </c>
      <c r="O189" s="11">
        <v>57736000</v>
      </c>
      <c r="P189" s="12" t="str">
        <f t="shared" si="24"/>
        <v/>
      </c>
      <c r="Q189" s="12">
        <f t="shared" si="25"/>
        <v>0.10899839198999242</v>
      </c>
      <c r="R189" s="12">
        <f t="shared" si="26"/>
        <v>0.21962677830755514</v>
      </c>
      <c r="S189" s="12">
        <f t="shared" si="27"/>
        <v>0.2465945652595263</v>
      </c>
      <c r="T189" s="12">
        <f t="shared" si="28"/>
        <v>0.81542225840213978</v>
      </c>
      <c r="U189" s="13">
        <f t="shared" si="29"/>
        <v>0</v>
      </c>
      <c r="V189" s="13">
        <f t="shared" si="30"/>
        <v>27.229398536902409</v>
      </c>
      <c r="W189" s="12" t="str">
        <f t="shared" si="31"/>
        <v/>
      </c>
      <c r="X189" s="12">
        <f t="shared" si="32"/>
        <v>0</v>
      </c>
      <c r="Y189" s="13">
        <f t="shared" si="33"/>
        <v>12.26641956491617</v>
      </c>
      <c r="Z189" s="13">
        <f t="shared" si="34"/>
        <v>34.281065867477913</v>
      </c>
      <c r="AA189" s="13">
        <f t="shared" si="35"/>
        <v>57719152.404237978</v>
      </c>
    </row>
    <row r="190" spans="1:27" x14ac:dyDescent="0.25">
      <c r="A190" s="10" t="s">
        <v>249</v>
      </c>
      <c r="B190" s="11">
        <v>759634000</v>
      </c>
      <c r="C190" s="11"/>
      <c r="D190" s="11"/>
      <c r="E190" s="11"/>
      <c r="F190" s="11">
        <v>1152095000</v>
      </c>
      <c r="G190" s="11">
        <v>900878000</v>
      </c>
      <c r="H190" s="11">
        <v>-1612851000</v>
      </c>
      <c r="I190" s="11">
        <v>2048249000</v>
      </c>
      <c r="J190" s="11">
        <v>3639063000</v>
      </c>
      <c r="K190" s="11"/>
      <c r="L190" s="11">
        <v>29670677838.119999</v>
      </c>
      <c r="M190" s="11"/>
      <c r="N190" s="11">
        <v>31.85</v>
      </c>
      <c r="O190" s="11">
        <v>23854000</v>
      </c>
      <c r="P190" s="12">
        <f t="shared" si="24"/>
        <v>-0.4709883306021449</v>
      </c>
      <c r="Q190" s="12">
        <f t="shared" si="25"/>
        <v>0.37086994794089978</v>
      </c>
      <c r="R190" s="12" t="str">
        <f t="shared" si="26"/>
        <v/>
      </c>
      <c r="S190" s="12" t="str">
        <f t="shared" si="27"/>
        <v/>
      </c>
      <c r="T190" s="12" t="str">
        <f t="shared" si="28"/>
        <v/>
      </c>
      <c r="U190" s="13">
        <f t="shared" si="29"/>
        <v>3.1586483753509911</v>
      </c>
      <c r="V190" s="13">
        <f t="shared" si="30"/>
        <v>28.91232132603648</v>
      </c>
      <c r="W190" s="12">
        <f t="shared" si="31"/>
        <v>0.44461191622594282</v>
      </c>
      <c r="X190" s="12">
        <f t="shared" si="32"/>
        <v>0</v>
      </c>
      <c r="Y190" s="13">
        <f t="shared" si="33"/>
        <v>31.845141276096253</v>
      </c>
      <c r="Z190" s="13">
        <f t="shared" si="34"/>
        <v>39.059175653169817</v>
      </c>
      <c r="AA190" s="13">
        <f t="shared" si="35"/>
        <v>23850361.067503925</v>
      </c>
    </row>
    <row r="191" spans="1:27" x14ac:dyDescent="0.25">
      <c r="A191" s="10" t="s">
        <v>250</v>
      </c>
      <c r="B191" s="11">
        <v>2671000000</v>
      </c>
      <c r="C191" s="11">
        <v>11440000000</v>
      </c>
      <c r="D191" s="11">
        <v>4165000000</v>
      </c>
      <c r="E191" s="11">
        <v>1817000000</v>
      </c>
      <c r="F191" s="11">
        <v>3872000000</v>
      </c>
      <c r="G191" s="11">
        <v>4168000000</v>
      </c>
      <c r="H191" s="11">
        <v>15520500000</v>
      </c>
      <c r="I191" s="11">
        <v>43484000000</v>
      </c>
      <c r="J191" s="11">
        <v>16892000000</v>
      </c>
      <c r="K191" s="11"/>
      <c r="L191" s="11">
        <v>21507341788.59</v>
      </c>
      <c r="M191" s="11">
        <v>859000000</v>
      </c>
      <c r="N191" s="11">
        <v>5.17</v>
      </c>
      <c r="O191" s="11">
        <v>517000000</v>
      </c>
      <c r="P191" s="12">
        <f t="shared" si="24"/>
        <v>0.17209497116716602</v>
      </c>
      <c r="Q191" s="12">
        <f t="shared" si="25"/>
        <v>6.1424891914267317E-2</v>
      </c>
      <c r="R191" s="12">
        <f t="shared" si="26"/>
        <v>0.23347902097902098</v>
      </c>
      <c r="S191" s="12">
        <f t="shared" si="27"/>
        <v>0.15882867132867132</v>
      </c>
      <c r="T191" s="12">
        <f t="shared" si="28"/>
        <v>0.36407342657342656</v>
      </c>
      <c r="U191" s="13">
        <f t="shared" si="29"/>
        <v>4.3626033057851243</v>
      </c>
      <c r="V191" s="13">
        <f t="shared" si="30"/>
        <v>9.9171853792846072</v>
      </c>
      <c r="W191" s="12">
        <f t="shared" si="31"/>
        <v>0.12859236405707675</v>
      </c>
      <c r="X191" s="12">
        <f t="shared" si="32"/>
        <v>0.32160239610632724</v>
      </c>
      <c r="Y191" s="13">
        <f t="shared" si="33"/>
        <v>5.1663442940038689</v>
      </c>
      <c r="Z191" s="13">
        <f t="shared" si="34"/>
        <v>8.0521683970760023</v>
      </c>
      <c r="AA191" s="13">
        <f t="shared" si="35"/>
        <v>516634429.40038687</v>
      </c>
    </row>
    <row r="192" spans="1:27" x14ac:dyDescent="0.25">
      <c r="A192" s="10" t="s">
        <v>251</v>
      </c>
      <c r="B192" s="11">
        <v>3200000000</v>
      </c>
      <c r="C192" s="11">
        <v>21193000000</v>
      </c>
      <c r="D192" s="11"/>
      <c r="E192" s="11">
        <v>5341000000</v>
      </c>
      <c r="F192" s="11">
        <v>8503000000</v>
      </c>
      <c r="G192" s="11">
        <v>4127000000</v>
      </c>
      <c r="H192" s="11">
        <v>26042500000</v>
      </c>
      <c r="I192" s="11">
        <v>80548000000</v>
      </c>
      <c r="J192" s="11"/>
      <c r="K192" s="11"/>
      <c r="L192" s="11">
        <v>27542569190.580002</v>
      </c>
      <c r="M192" s="11"/>
      <c r="N192" s="11">
        <v>5.98</v>
      </c>
      <c r="O192" s="11">
        <v>535400000</v>
      </c>
      <c r="P192" s="12">
        <f t="shared" si="24"/>
        <v>0.12287606796582509</v>
      </c>
      <c r="Q192" s="12">
        <f t="shared" si="25"/>
        <v>3.9727864130704671E-2</v>
      </c>
      <c r="R192" s="12">
        <f t="shared" si="26"/>
        <v>0.15099325248902939</v>
      </c>
      <c r="S192" s="12">
        <f t="shared" si="27"/>
        <v>0.2520171754824706</v>
      </c>
      <c r="T192" s="12">
        <f t="shared" si="28"/>
        <v>0</v>
      </c>
      <c r="U192" s="13">
        <f t="shared" si="29"/>
        <v>0</v>
      </c>
      <c r="V192" s="13">
        <f t="shared" si="30"/>
        <v>3.2391590251181936</v>
      </c>
      <c r="W192" s="12">
        <f t="shared" si="31"/>
        <v>0.15847172890467506</v>
      </c>
      <c r="X192" s="12">
        <f t="shared" si="32"/>
        <v>0</v>
      </c>
      <c r="Y192" s="13">
        <f t="shared" si="33"/>
        <v>5.9768397459843108</v>
      </c>
      <c r="Z192" s="13">
        <f t="shared" si="34"/>
        <v>8.6070528720562507</v>
      </c>
      <c r="AA192" s="13">
        <f t="shared" si="35"/>
        <v>535117056.85618722</v>
      </c>
    </row>
    <row r="193" spans="1:27" x14ac:dyDescent="0.25">
      <c r="A193" s="10" t="s">
        <v>252</v>
      </c>
      <c r="B193" s="11">
        <v>2172000000</v>
      </c>
      <c r="C193" s="11"/>
      <c r="D193" s="11"/>
      <c r="E193" s="11"/>
      <c r="F193" s="11"/>
      <c r="G193" s="11">
        <v>1562000000</v>
      </c>
      <c r="H193" s="11">
        <v>27254500000</v>
      </c>
      <c r="I193" s="11">
        <v>297039000000</v>
      </c>
      <c r="J193" s="11">
        <v>18753000000</v>
      </c>
      <c r="K193" s="11"/>
      <c r="L193" s="11">
        <v>51242855753.669998</v>
      </c>
      <c r="M193" s="11"/>
      <c r="N193" s="11">
        <v>2.62</v>
      </c>
      <c r="O193" s="11">
        <v>830273720</v>
      </c>
      <c r="P193" s="12">
        <f t="shared" si="24"/>
        <v>7.9693261663211584E-2</v>
      </c>
      <c r="Q193" s="12">
        <f t="shared" si="25"/>
        <v>7.3121711290436613E-3</v>
      </c>
      <c r="R193" s="12" t="str">
        <f t="shared" si="26"/>
        <v/>
      </c>
      <c r="S193" s="12" t="str">
        <f t="shared" si="27"/>
        <v/>
      </c>
      <c r="T193" s="12" t="str">
        <f t="shared" si="28"/>
        <v/>
      </c>
      <c r="U193" s="13" t="str">
        <f t="shared" si="29"/>
        <v/>
      </c>
      <c r="V193" s="13" t="str">
        <f t="shared" si="30"/>
        <v/>
      </c>
      <c r="W193" s="12">
        <f t="shared" si="31"/>
        <v>3.395098625224148E-2</v>
      </c>
      <c r="X193" s="12">
        <f t="shared" si="32"/>
        <v>0</v>
      </c>
      <c r="Y193" s="13">
        <f t="shared" si="33"/>
        <v>2.6160047556364905</v>
      </c>
      <c r="Z193" s="13">
        <f t="shared" si="34"/>
        <v>23.592475024709945</v>
      </c>
      <c r="AA193" s="13">
        <f t="shared" si="35"/>
        <v>829007633.5877862</v>
      </c>
    </row>
    <row r="194" spans="1:27" x14ac:dyDescent="0.25">
      <c r="A194" s="10" t="s">
        <v>253</v>
      </c>
      <c r="B194" s="11">
        <v>1223647000</v>
      </c>
      <c r="C194" s="11">
        <v>10135687000</v>
      </c>
      <c r="D194" s="11">
        <v>2546895000</v>
      </c>
      <c r="E194" s="11">
        <v>1591209000</v>
      </c>
      <c r="F194" s="11">
        <v>1653609000</v>
      </c>
      <c r="G194" s="11">
        <v>1382966000</v>
      </c>
      <c r="H194" s="11">
        <v>2296030500</v>
      </c>
      <c r="I194" s="11">
        <v>6938346000</v>
      </c>
      <c r="J194" s="11">
        <v>39079000</v>
      </c>
      <c r="K194" s="11"/>
      <c r="L194" s="11">
        <v>62677424039.309998</v>
      </c>
      <c r="M194" s="11">
        <v>79294000</v>
      </c>
      <c r="N194" s="11">
        <v>34.71</v>
      </c>
      <c r="O194" s="11">
        <v>35251000</v>
      </c>
      <c r="P194" s="12">
        <f t="shared" si="24"/>
        <v>0.53294022008853981</v>
      </c>
      <c r="Q194" s="12">
        <f t="shared" si="25"/>
        <v>0.17636004315725967</v>
      </c>
      <c r="R194" s="12">
        <f t="shared" si="26"/>
        <v>0.12072659702297436</v>
      </c>
      <c r="S194" s="12">
        <f t="shared" si="27"/>
        <v>0.15699073974956015</v>
      </c>
      <c r="T194" s="12">
        <f t="shared" si="28"/>
        <v>0.25127995763878658</v>
      </c>
      <c r="U194" s="13">
        <f t="shared" si="29"/>
        <v>2.3632551588676647E-2</v>
      </c>
      <c r="V194" s="13">
        <f t="shared" si="30"/>
        <v>37.927045050740531</v>
      </c>
      <c r="W194" s="12">
        <f t="shared" si="31"/>
        <v>0.59224888597301328</v>
      </c>
      <c r="X194" s="12">
        <f t="shared" si="32"/>
        <v>6.4801368368491888E-2</v>
      </c>
      <c r="Y194" s="13">
        <f t="shared" si="33"/>
        <v>34.712405321834844</v>
      </c>
      <c r="Z194" s="13">
        <f t="shared" si="34"/>
        <v>51.221818089130281</v>
      </c>
      <c r="AA194" s="13">
        <f t="shared" si="35"/>
        <v>35253442.811869778</v>
      </c>
    </row>
    <row r="195" spans="1:27" x14ac:dyDescent="0.25">
      <c r="A195" s="10" t="s">
        <v>254</v>
      </c>
      <c r="B195" s="11">
        <v>852000000</v>
      </c>
      <c r="C195" s="11">
        <v>26835000000</v>
      </c>
      <c r="D195" s="11">
        <v>2428000000</v>
      </c>
      <c r="E195" s="11">
        <v>1301000000</v>
      </c>
      <c r="F195" s="11"/>
      <c r="G195" s="11">
        <v>1052000000</v>
      </c>
      <c r="H195" s="11">
        <v>5073000000</v>
      </c>
      <c r="I195" s="11">
        <v>22060000000</v>
      </c>
      <c r="J195" s="11">
        <v>3751000000</v>
      </c>
      <c r="K195" s="11"/>
      <c r="L195" s="11">
        <v>51272555081.269997</v>
      </c>
      <c r="M195" s="11"/>
      <c r="N195" s="11">
        <v>2.25</v>
      </c>
      <c r="O195" s="11">
        <v>378000000</v>
      </c>
      <c r="P195" s="12">
        <f t="shared" ref="P195:P258" si="36">IFERROR(B195/H195,"")</f>
        <v>0.16794795978710822</v>
      </c>
      <c r="Q195" s="12">
        <f t="shared" ref="Q195:Q258" si="37">IFERROR(B195/I195,"")</f>
        <v>3.8621940163191294E-2</v>
      </c>
      <c r="R195" s="12">
        <f t="shared" ref="R195:R258" si="38">IFERROR(B195/C195,"")</f>
        <v>3.174958077138066E-2</v>
      </c>
      <c r="S195" s="12">
        <f t="shared" ref="S195:S258" si="39">IFERROR(E195/C195,"")</f>
        <v>4.8481460778833613E-2</v>
      </c>
      <c r="T195" s="12">
        <f t="shared" ref="T195:T258" si="40">IFERROR(D195/C195,"")</f>
        <v>9.0478852245202163E-2</v>
      </c>
      <c r="U195" s="13" t="str">
        <f t="shared" ref="U195:U258" si="41">IFERROR(J195/F195,"")</f>
        <v/>
      </c>
      <c r="V195" s="13" t="str">
        <f t="shared" ref="V195:V258" si="42">IFERROR((L195+J195-K195)/F195,"")</f>
        <v/>
      </c>
      <c r="W195" s="12">
        <f t="shared" ref="W195:W258" si="43">IFERROR(G195/(J195+H195),"")</f>
        <v>0.11922030825022666</v>
      </c>
      <c r="X195" s="12">
        <f t="shared" ref="X195:X258" si="44">IFERROR(M195/B195,"")</f>
        <v>0</v>
      </c>
      <c r="Y195" s="13">
        <f t="shared" ref="Y195:Y258" si="45">IFERROR(B195/O195,"")</f>
        <v>2.253968253968254</v>
      </c>
      <c r="Z195" s="13">
        <f t="shared" ref="Z195:Z258" si="46">IFERROR(L195/B195,"")</f>
        <v>60.179055259706566</v>
      </c>
      <c r="AA195" s="13">
        <f t="shared" ref="AA195:AA258" si="47">IFERROR(B195/N195,"")</f>
        <v>378666666.66666669</v>
      </c>
    </row>
    <row r="196" spans="1:27" x14ac:dyDescent="0.25">
      <c r="A196" s="10" t="s">
        <v>255</v>
      </c>
      <c r="B196" s="11">
        <v>1750000000</v>
      </c>
      <c r="C196" s="11">
        <v>14913000000</v>
      </c>
      <c r="D196" s="11"/>
      <c r="E196" s="11"/>
      <c r="F196" s="11"/>
      <c r="G196" s="11">
        <v>2136000000</v>
      </c>
      <c r="H196" s="11">
        <v>11247500000</v>
      </c>
      <c r="I196" s="11">
        <v>21783000000</v>
      </c>
      <c r="J196" s="11">
        <v>6603000000</v>
      </c>
      <c r="K196" s="11"/>
      <c r="L196" s="11">
        <v>22565461743.27</v>
      </c>
      <c r="M196" s="11">
        <v>285000000</v>
      </c>
      <c r="N196" s="11">
        <v>3.95</v>
      </c>
      <c r="O196" s="11">
        <v>443000000</v>
      </c>
      <c r="P196" s="12">
        <f t="shared" si="36"/>
        <v>0.15559013114025338</v>
      </c>
      <c r="Q196" s="12">
        <f t="shared" si="37"/>
        <v>8.0337878161869353E-2</v>
      </c>
      <c r="R196" s="12">
        <f t="shared" si="38"/>
        <v>0.11734728089586267</v>
      </c>
      <c r="S196" s="12">
        <f t="shared" si="39"/>
        <v>0</v>
      </c>
      <c r="T196" s="12">
        <f t="shared" si="40"/>
        <v>0</v>
      </c>
      <c r="U196" s="13" t="str">
        <f t="shared" si="41"/>
        <v/>
      </c>
      <c r="V196" s="13" t="str">
        <f t="shared" si="42"/>
        <v/>
      </c>
      <c r="W196" s="12">
        <f t="shared" si="43"/>
        <v>0.11966051371110054</v>
      </c>
      <c r="X196" s="12">
        <f t="shared" si="44"/>
        <v>0.16285714285714287</v>
      </c>
      <c r="Y196" s="13">
        <f t="shared" si="45"/>
        <v>3.9503386004514671</v>
      </c>
      <c r="Z196" s="13">
        <f t="shared" si="46"/>
        <v>12.894549567582857</v>
      </c>
      <c r="AA196" s="13">
        <f t="shared" si="47"/>
        <v>443037974.68354428</v>
      </c>
    </row>
    <row r="197" spans="1:27" x14ac:dyDescent="0.25">
      <c r="A197" s="10" t="s">
        <v>256</v>
      </c>
      <c r="B197" s="11">
        <v>506408000</v>
      </c>
      <c r="C197" s="11">
        <v>1310905000</v>
      </c>
      <c r="D197" s="11"/>
      <c r="E197" s="11">
        <v>703051000</v>
      </c>
      <c r="F197" s="11">
        <v>1083164000</v>
      </c>
      <c r="G197" s="11"/>
      <c r="H197" s="11">
        <v>3251509000</v>
      </c>
      <c r="I197" s="11">
        <v>9096770000</v>
      </c>
      <c r="J197" s="11">
        <v>4963602000</v>
      </c>
      <c r="K197" s="11"/>
      <c r="L197" s="11">
        <v>10429768043.809999</v>
      </c>
      <c r="M197" s="11"/>
      <c r="N197" s="11">
        <v>5.84</v>
      </c>
      <c r="O197" s="11">
        <v>86662000</v>
      </c>
      <c r="P197" s="12">
        <f t="shared" si="36"/>
        <v>0.15574553230515431</v>
      </c>
      <c r="Q197" s="12">
        <f t="shared" si="37"/>
        <v>5.5668990202016759E-2</v>
      </c>
      <c r="R197" s="12">
        <f t="shared" si="38"/>
        <v>0.38630411814738674</v>
      </c>
      <c r="S197" s="12">
        <f t="shared" si="39"/>
        <v>0.53630964867782183</v>
      </c>
      <c r="T197" s="12">
        <f t="shared" si="40"/>
        <v>0</v>
      </c>
      <c r="U197" s="13">
        <f t="shared" si="41"/>
        <v>4.5825027419670521</v>
      </c>
      <c r="V197" s="13">
        <f t="shared" si="42"/>
        <v>14.211486020408728</v>
      </c>
      <c r="W197" s="12">
        <f t="shared" si="43"/>
        <v>0</v>
      </c>
      <c r="X197" s="12">
        <f t="shared" si="44"/>
        <v>0</v>
      </c>
      <c r="Y197" s="13">
        <f t="shared" si="45"/>
        <v>5.8434838799012256</v>
      </c>
      <c r="Z197" s="13">
        <f t="shared" si="46"/>
        <v>20.595583094678599</v>
      </c>
      <c r="AA197" s="13">
        <f t="shared" si="47"/>
        <v>86713698.630136982</v>
      </c>
    </row>
    <row r="198" spans="1:27" x14ac:dyDescent="0.25">
      <c r="A198" s="10" t="s">
        <v>257</v>
      </c>
      <c r="B198" s="11">
        <v>1665313000</v>
      </c>
      <c r="C198" s="11">
        <v>5419048000</v>
      </c>
      <c r="D198" s="11">
        <v>2262067000</v>
      </c>
      <c r="E198" s="11">
        <v>1720923000</v>
      </c>
      <c r="F198" s="11"/>
      <c r="G198" s="11">
        <v>1667783000</v>
      </c>
      <c r="H198" s="11">
        <v>9032951000</v>
      </c>
      <c r="I198" s="11">
        <v>13351097000</v>
      </c>
      <c r="J198" s="11">
        <v>438000000</v>
      </c>
      <c r="K198" s="11"/>
      <c r="L198" s="11">
        <v>24553093445.5</v>
      </c>
      <c r="M198" s="11"/>
      <c r="N198" s="11">
        <v>15.47</v>
      </c>
      <c r="O198" s="11">
        <v>107623000</v>
      </c>
      <c r="P198" s="12">
        <f t="shared" si="36"/>
        <v>0.18435979559725277</v>
      </c>
      <c r="Q198" s="12">
        <f t="shared" si="37"/>
        <v>0.1247322972786431</v>
      </c>
      <c r="R198" s="12">
        <f t="shared" si="38"/>
        <v>0.30730729825607744</v>
      </c>
      <c r="S198" s="12">
        <f t="shared" si="39"/>
        <v>0.31756924832553612</v>
      </c>
      <c r="T198" s="12">
        <f t="shared" si="40"/>
        <v>0.4174288546622949</v>
      </c>
      <c r="U198" s="13" t="str">
        <f t="shared" si="41"/>
        <v/>
      </c>
      <c r="V198" s="13" t="str">
        <f t="shared" si="42"/>
        <v/>
      </c>
      <c r="W198" s="12">
        <f t="shared" si="43"/>
        <v>0.17609456537152393</v>
      </c>
      <c r="X198" s="12">
        <f t="shared" si="44"/>
        <v>0</v>
      </c>
      <c r="Y198" s="13">
        <f t="shared" si="45"/>
        <v>15.473579067671409</v>
      </c>
      <c r="Z198" s="13">
        <f t="shared" si="46"/>
        <v>14.743831006843758</v>
      </c>
      <c r="AA198" s="13">
        <f t="shared" si="47"/>
        <v>107647899.15966386</v>
      </c>
    </row>
    <row r="199" spans="1:27" x14ac:dyDescent="0.25">
      <c r="A199" s="10" t="s">
        <v>258</v>
      </c>
      <c r="B199" s="11">
        <v>1954500000</v>
      </c>
      <c r="C199" s="11">
        <v>7109500000</v>
      </c>
      <c r="D199" s="11">
        <v>5709200000</v>
      </c>
      <c r="E199" s="11">
        <v>2210900000</v>
      </c>
      <c r="F199" s="11">
        <v>2366900000</v>
      </c>
      <c r="G199" s="11"/>
      <c r="H199" s="11">
        <v>1476300000</v>
      </c>
      <c r="I199" s="11">
        <v>9883500000</v>
      </c>
      <c r="J199" s="11">
        <v>987500000</v>
      </c>
      <c r="K199" s="11"/>
      <c r="L199" s="11">
        <v>119956517928.22</v>
      </c>
      <c r="M199" s="11"/>
      <c r="N199" s="11">
        <v>2.63</v>
      </c>
      <c r="O199" s="11">
        <v>742800000</v>
      </c>
      <c r="P199" s="12">
        <f t="shared" si="36"/>
        <v>1.3239179028652712</v>
      </c>
      <c r="Q199" s="12">
        <f t="shared" si="37"/>
        <v>0.19775383214448322</v>
      </c>
      <c r="R199" s="12">
        <f t="shared" si="38"/>
        <v>0.27491384766861243</v>
      </c>
      <c r="S199" s="12">
        <f t="shared" si="39"/>
        <v>0.31097826851396021</v>
      </c>
      <c r="T199" s="12">
        <f t="shared" si="40"/>
        <v>0.80303818833954566</v>
      </c>
      <c r="U199" s="13">
        <f t="shared" si="41"/>
        <v>0.41721238751109047</v>
      </c>
      <c r="V199" s="13">
        <f t="shared" si="42"/>
        <v>51.098068329130932</v>
      </c>
      <c r="W199" s="12">
        <f t="shared" si="43"/>
        <v>0</v>
      </c>
      <c r="X199" s="12">
        <f t="shared" si="44"/>
        <v>0</v>
      </c>
      <c r="Y199" s="13">
        <f t="shared" si="45"/>
        <v>2.6312600969305331</v>
      </c>
      <c r="Z199" s="13">
        <f t="shared" si="46"/>
        <v>61.374529510473266</v>
      </c>
      <c r="AA199" s="13">
        <f t="shared" si="47"/>
        <v>743155893.53612173</v>
      </c>
    </row>
    <row r="200" spans="1:27" x14ac:dyDescent="0.25">
      <c r="A200" s="10" t="s">
        <v>259</v>
      </c>
      <c r="B200" s="11">
        <v>543700000</v>
      </c>
      <c r="C200" s="11">
        <v>3754300000</v>
      </c>
      <c r="D200" s="11">
        <v>2435700000</v>
      </c>
      <c r="E200" s="11">
        <v>678300000</v>
      </c>
      <c r="F200" s="11">
        <v>1094600000</v>
      </c>
      <c r="G200" s="11">
        <v>971300000</v>
      </c>
      <c r="H200" s="11">
        <v>8159750000</v>
      </c>
      <c r="I200" s="11">
        <v>11584100000</v>
      </c>
      <c r="J200" s="11">
        <v>3489100000</v>
      </c>
      <c r="K200" s="11"/>
      <c r="L200" s="11">
        <v>18642251899.330002</v>
      </c>
      <c r="M200" s="11">
        <v>83400000</v>
      </c>
      <c r="N200" s="11">
        <v>1.74</v>
      </c>
      <c r="O200" s="11">
        <v>312800000</v>
      </c>
      <c r="P200" s="12">
        <f t="shared" si="36"/>
        <v>6.6631943380618272E-2</v>
      </c>
      <c r="Q200" s="12">
        <f t="shared" si="37"/>
        <v>4.6935023005671567E-2</v>
      </c>
      <c r="R200" s="12">
        <f t="shared" si="38"/>
        <v>0.14482060570545774</v>
      </c>
      <c r="S200" s="12">
        <f t="shared" si="39"/>
        <v>0.18067282848999813</v>
      </c>
      <c r="T200" s="12">
        <f t="shared" si="40"/>
        <v>0.64877607010627814</v>
      </c>
      <c r="U200" s="13">
        <f t="shared" si="41"/>
        <v>3.1875570984834645</v>
      </c>
      <c r="V200" s="13">
        <f t="shared" si="42"/>
        <v>20.218666087456608</v>
      </c>
      <c r="W200" s="12">
        <f t="shared" si="43"/>
        <v>8.3381621361765329E-2</v>
      </c>
      <c r="X200" s="12">
        <f t="shared" si="44"/>
        <v>0.15339341548648153</v>
      </c>
      <c r="Y200" s="13">
        <f t="shared" si="45"/>
        <v>1.7381713554987213</v>
      </c>
      <c r="Z200" s="13">
        <f t="shared" si="46"/>
        <v>34.287754091098037</v>
      </c>
      <c r="AA200" s="13">
        <f t="shared" si="47"/>
        <v>312471264.36781609</v>
      </c>
    </row>
    <row r="201" spans="1:27" x14ac:dyDescent="0.25">
      <c r="A201" s="10" t="s">
        <v>260</v>
      </c>
      <c r="B201" s="11">
        <v>4341000000</v>
      </c>
      <c r="C201" s="11">
        <v>52550000000</v>
      </c>
      <c r="D201" s="11"/>
      <c r="E201" s="11">
        <v>5508000000</v>
      </c>
      <c r="F201" s="11">
        <v>6441000000</v>
      </c>
      <c r="G201" s="11">
        <v>6201000000</v>
      </c>
      <c r="H201" s="11">
        <v>24152000000</v>
      </c>
      <c r="I201" s="11">
        <v>59029000000</v>
      </c>
      <c r="J201" s="11">
        <v>8074000000</v>
      </c>
      <c r="K201" s="11"/>
      <c r="L201" s="11">
        <v>101303149700.77</v>
      </c>
      <c r="M201" s="11">
        <v>1615000000</v>
      </c>
      <c r="N201" s="11">
        <v>15.84</v>
      </c>
      <c r="O201" s="11">
        <v>274129000</v>
      </c>
      <c r="P201" s="12">
        <f t="shared" si="36"/>
        <v>0.17973666777078504</v>
      </c>
      <c r="Q201" s="12">
        <f t="shared" si="37"/>
        <v>7.354012434566061E-2</v>
      </c>
      <c r="R201" s="12">
        <f t="shared" si="38"/>
        <v>8.2607040913415794E-2</v>
      </c>
      <c r="S201" s="12">
        <f t="shared" si="39"/>
        <v>0.10481446241674595</v>
      </c>
      <c r="T201" s="12">
        <f t="shared" si="40"/>
        <v>0</v>
      </c>
      <c r="U201" s="13">
        <f t="shared" si="41"/>
        <v>1.2535320602390934</v>
      </c>
      <c r="V201" s="13">
        <f t="shared" si="42"/>
        <v>16.9813925944372</v>
      </c>
      <c r="W201" s="12">
        <f t="shared" si="43"/>
        <v>0.19242226773412771</v>
      </c>
      <c r="X201" s="12">
        <f t="shared" si="44"/>
        <v>0.37203409352683714</v>
      </c>
      <c r="Y201" s="13">
        <f t="shared" si="45"/>
        <v>15.835610241893415</v>
      </c>
      <c r="Z201" s="13">
        <f t="shared" si="46"/>
        <v>23.336362520334024</v>
      </c>
      <c r="AA201" s="13">
        <f t="shared" si="47"/>
        <v>274053030.30303031</v>
      </c>
    </row>
    <row r="202" spans="1:27" x14ac:dyDescent="0.25">
      <c r="A202" s="10" t="s">
        <v>261</v>
      </c>
      <c r="B202" s="11">
        <v>870100000</v>
      </c>
      <c r="C202" s="11">
        <v>5023700000</v>
      </c>
      <c r="D202" s="11"/>
      <c r="E202" s="11">
        <v>1190500000</v>
      </c>
      <c r="F202" s="11">
        <v>1300500000</v>
      </c>
      <c r="G202" s="11">
        <v>1641300000</v>
      </c>
      <c r="H202" s="11">
        <v>218500000</v>
      </c>
      <c r="I202" s="11">
        <v>8154400000</v>
      </c>
      <c r="J202" s="11">
        <v>3762500000</v>
      </c>
      <c r="K202" s="11"/>
      <c r="L202" s="11">
        <v>11634853619.559999</v>
      </c>
      <c r="M202" s="11"/>
      <c r="N202" s="11">
        <v>6.48</v>
      </c>
      <c r="O202" s="11">
        <v>134289000</v>
      </c>
      <c r="P202" s="12">
        <f t="shared" si="36"/>
        <v>3.9821510297482838</v>
      </c>
      <c r="Q202" s="12">
        <f t="shared" si="37"/>
        <v>0.10670312959874424</v>
      </c>
      <c r="R202" s="12">
        <f t="shared" si="38"/>
        <v>0.17319903656667396</v>
      </c>
      <c r="S202" s="12">
        <f t="shared" si="39"/>
        <v>0.23697673029838565</v>
      </c>
      <c r="T202" s="12">
        <f t="shared" si="40"/>
        <v>0</v>
      </c>
      <c r="U202" s="13">
        <f t="shared" si="41"/>
        <v>2.8931180315263361</v>
      </c>
      <c r="V202" s="13">
        <f t="shared" si="42"/>
        <v>11.839564490242214</v>
      </c>
      <c r="W202" s="12">
        <f t="shared" si="43"/>
        <v>0.4122833458929917</v>
      </c>
      <c r="X202" s="12">
        <f t="shared" si="44"/>
        <v>0</v>
      </c>
      <c r="Y202" s="13">
        <f t="shared" si="45"/>
        <v>6.4793095488089119</v>
      </c>
      <c r="Z202" s="13">
        <f t="shared" si="46"/>
        <v>13.371857969842546</v>
      </c>
      <c r="AA202" s="13">
        <f t="shared" si="47"/>
        <v>134274691.35802469</v>
      </c>
    </row>
    <row r="203" spans="1:27" x14ac:dyDescent="0.25">
      <c r="A203" s="10" t="s">
        <v>262</v>
      </c>
      <c r="B203" s="11">
        <v>8630000000</v>
      </c>
      <c r="C203" s="11">
        <v>48312000000</v>
      </c>
      <c r="D203" s="11"/>
      <c r="E203" s="11"/>
      <c r="F203" s="11"/>
      <c r="G203" s="11">
        <v>7541000000</v>
      </c>
      <c r="H203" s="11">
        <v>18654000000</v>
      </c>
      <c r="I203" s="11">
        <v>128445000000</v>
      </c>
      <c r="J203" s="11">
        <v>20469000000</v>
      </c>
      <c r="K203" s="11"/>
      <c r="L203" s="11">
        <v>375135629589.10999</v>
      </c>
      <c r="M203" s="11"/>
      <c r="N203" s="11">
        <v>8.19</v>
      </c>
      <c r="O203" s="11">
        <v>1054000000</v>
      </c>
      <c r="P203" s="12">
        <f t="shared" si="36"/>
        <v>0.46263535970837355</v>
      </c>
      <c r="Q203" s="12">
        <f t="shared" si="37"/>
        <v>6.7188290708085172E-2</v>
      </c>
      <c r="R203" s="12">
        <f t="shared" si="38"/>
        <v>0.17863056797483026</v>
      </c>
      <c r="S203" s="12">
        <f t="shared" si="39"/>
        <v>0</v>
      </c>
      <c r="T203" s="12">
        <f t="shared" si="40"/>
        <v>0</v>
      </c>
      <c r="U203" s="13" t="str">
        <f t="shared" si="41"/>
        <v/>
      </c>
      <c r="V203" s="13" t="str">
        <f t="shared" si="42"/>
        <v/>
      </c>
      <c r="W203" s="12">
        <f t="shared" si="43"/>
        <v>0.19275106714720242</v>
      </c>
      <c r="X203" s="12">
        <f t="shared" si="44"/>
        <v>0</v>
      </c>
      <c r="Y203" s="13">
        <f t="shared" si="45"/>
        <v>8.1878557874762805</v>
      </c>
      <c r="Z203" s="13">
        <f t="shared" si="46"/>
        <v>43.468786742654693</v>
      </c>
      <c r="AA203" s="13">
        <f t="shared" si="47"/>
        <v>1053724053.7240537</v>
      </c>
    </row>
    <row r="204" spans="1:27" x14ac:dyDescent="0.25">
      <c r="A204" s="10" t="s">
        <v>263</v>
      </c>
      <c r="B204" s="11">
        <v>1909000000</v>
      </c>
      <c r="C204" s="11">
        <v>20979000000</v>
      </c>
      <c r="D204" s="11">
        <v>8213000000</v>
      </c>
      <c r="E204" s="11">
        <v>2649000000</v>
      </c>
      <c r="F204" s="11">
        <v>2948000000</v>
      </c>
      <c r="G204" s="11"/>
      <c r="H204" s="11">
        <v>9927500000</v>
      </c>
      <c r="I204" s="11">
        <v>37125000000</v>
      </c>
      <c r="J204" s="11">
        <v>10134000000</v>
      </c>
      <c r="K204" s="11"/>
      <c r="L204" s="11">
        <v>29431497165.98</v>
      </c>
      <c r="M204" s="11">
        <v>64000000</v>
      </c>
      <c r="N204" s="11">
        <v>4.18</v>
      </c>
      <c r="O204" s="11">
        <v>457000000</v>
      </c>
      <c r="P204" s="12">
        <f t="shared" si="36"/>
        <v>0.19229413246033744</v>
      </c>
      <c r="Q204" s="12">
        <f t="shared" si="37"/>
        <v>5.1420875420875423E-2</v>
      </c>
      <c r="R204" s="12">
        <f t="shared" si="38"/>
        <v>9.0995757662424334E-2</v>
      </c>
      <c r="S204" s="12">
        <f t="shared" si="39"/>
        <v>0.12626912626912626</v>
      </c>
      <c r="T204" s="12">
        <f t="shared" si="40"/>
        <v>0.39148672482005814</v>
      </c>
      <c r="U204" s="13">
        <f t="shared" si="41"/>
        <v>3.4375848032564451</v>
      </c>
      <c r="V204" s="13">
        <f t="shared" si="42"/>
        <v>13.421132010169606</v>
      </c>
      <c r="W204" s="12">
        <f t="shared" si="43"/>
        <v>0</v>
      </c>
      <c r="X204" s="12">
        <f t="shared" si="44"/>
        <v>3.352540597171294E-2</v>
      </c>
      <c r="Y204" s="13">
        <f t="shared" si="45"/>
        <v>4.1772428884026258</v>
      </c>
      <c r="Z204" s="13">
        <f t="shared" si="46"/>
        <v>15.417232669449973</v>
      </c>
      <c r="AA204" s="13">
        <f t="shared" si="47"/>
        <v>456698564.59330148</v>
      </c>
    </row>
    <row r="205" spans="1:27" x14ac:dyDescent="0.25">
      <c r="A205" s="10" t="s">
        <v>264</v>
      </c>
      <c r="B205" s="11">
        <v>973000000</v>
      </c>
      <c r="C205" s="11"/>
      <c r="D205" s="11"/>
      <c r="E205" s="11"/>
      <c r="F205" s="11">
        <v>2613000000</v>
      </c>
      <c r="G205" s="11">
        <v>1523000000</v>
      </c>
      <c r="H205" s="11">
        <v>2440000000</v>
      </c>
      <c r="I205" s="11">
        <v>15589000000</v>
      </c>
      <c r="J205" s="11">
        <v>8196000000</v>
      </c>
      <c r="K205" s="11"/>
      <c r="L205" s="11">
        <v>15657255727.57</v>
      </c>
      <c r="M205" s="11">
        <v>312000000</v>
      </c>
      <c r="N205" s="11">
        <v>1.57</v>
      </c>
      <c r="O205" s="11">
        <v>619000000</v>
      </c>
      <c r="P205" s="12">
        <f t="shared" si="36"/>
        <v>0.39877049180327867</v>
      </c>
      <c r="Q205" s="12">
        <f t="shared" si="37"/>
        <v>6.2415806017063313E-2</v>
      </c>
      <c r="R205" s="12" t="str">
        <f t="shared" si="38"/>
        <v/>
      </c>
      <c r="S205" s="12" t="str">
        <f t="shared" si="39"/>
        <v/>
      </c>
      <c r="T205" s="12" t="str">
        <f t="shared" si="40"/>
        <v/>
      </c>
      <c r="U205" s="13">
        <f t="shared" si="41"/>
        <v>3.1366245694603903</v>
      </c>
      <c r="V205" s="13">
        <f t="shared" si="42"/>
        <v>9.1286856975009574</v>
      </c>
      <c r="W205" s="12">
        <f t="shared" si="43"/>
        <v>0.14319292967280933</v>
      </c>
      <c r="X205" s="12">
        <f t="shared" si="44"/>
        <v>0.32065775950668035</v>
      </c>
      <c r="Y205" s="13">
        <f t="shared" si="45"/>
        <v>1.5718901453957996</v>
      </c>
      <c r="Z205" s="13">
        <f t="shared" si="46"/>
        <v>16.09173250521069</v>
      </c>
      <c r="AA205" s="13">
        <f t="shared" si="47"/>
        <v>619745222.92993629</v>
      </c>
    </row>
    <row r="206" spans="1:27" x14ac:dyDescent="0.25">
      <c r="A206" s="10" t="s">
        <v>265</v>
      </c>
      <c r="B206" s="11">
        <v>9375000000</v>
      </c>
      <c r="C206" s="11">
        <v>39375000000</v>
      </c>
      <c r="D206" s="11">
        <v>7846000000</v>
      </c>
      <c r="E206" s="11">
        <v>1524000000</v>
      </c>
      <c r="F206" s="11">
        <v>2156000000</v>
      </c>
      <c r="G206" s="11">
        <v>7526000000</v>
      </c>
      <c r="H206" s="11">
        <v>11264500000</v>
      </c>
      <c r="I206" s="11">
        <v>75612000000</v>
      </c>
      <c r="J206" s="11"/>
      <c r="K206" s="11"/>
      <c r="L206" s="11">
        <v>288943864447.91998</v>
      </c>
      <c r="M206" s="11">
        <v>343000000</v>
      </c>
      <c r="N206" s="11">
        <v>34.47</v>
      </c>
      <c r="O206" s="11">
        <v>272000000</v>
      </c>
      <c r="P206" s="12">
        <f t="shared" si="36"/>
        <v>0.83226064183940696</v>
      </c>
      <c r="Q206" s="12">
        <f t="shared" si="37"/>
        <v>0.12398825583240755</v>
      </c>
      <c r="R206" s="12">
        <f t="shared" si="38"/>
        <v>0.23809523809523808</v>
      </c>
      <c r="S206" s="12">
        <f t="shared" si="39"/>
        <v>3.8704761904761902E-2</v>
      </c>
      <c r="T206" s="12">
        <f t="shared" si="40"/>
        <v>0.19926349206349206</v>
      </c>
      <c r="U206" s="13">
        <f t="shared" si="41"/>
        <v>0</v>
      </c>
      <c r="V206" s="13">
        <f t="shared" si="42"/>
        <v>134.01849000367346</v>
      </c>
      <c r="W206" s="12">
        <f t="shared" si="43"/>
        <v>0.66811664965156026</v>
      </c>
      <c r="X206" s="12">
        <f t="shared" si="44"/>
        <v>3.658666666666667E-2</v>
      </c>
      <c r="Y206" s="13">
        <f t="shared" si="45"/>
        <v>34.466911764705884</v>
      </c>
      <c r="Z206" s="13">
        <f t="shared" si="46"/>
        <v>30.820678874444798</v>
      </c>
      <c r="AA206" s="13">
        <f t="shared" si="47"/>
        <v>271975630.98346388</v>
      </c>
    </row>
    <row r="207" spans="1:27" x14ac:dyDescent="0.25">
      <c r="A207" s="10" t="s">
        <v>266</v>
      </c>
      <c r="B207" s="11">
        <v>9216000000</v>
      </c>
      <c r="C207" s="11">
        <v>24689000000</v>
      </c>
      <c r="D207" s="11"/>
      <c r="E207" s="11">
        <v>10371000000</v>
      </c>
      <c r="F207" s="11">
        <v>10737000000</v>
      </c>
      <c r="G207" s="11">
        <v>10230000000</v>
      </c>
      <c r="H207" s="11">
        <v>21338500000</v>
      </c>
      <c r="I207" s="11">
        <v>56278000000</v>
      </c>
      <c r="J207" s="11">
        <v>22174000000</v>
      </c>
      <c r="K207" s="11"/>
      <c r="L207" s="11">
        <v>167413277263.39999</v>
      </c>
      <c r="M207" s="11">
        <v>4033000000</v>
      </c>
      <c r="N207" s="11">
        <v>7.35</v>
      </c>
      <c r="O207" s="11">
        <v>1254000000</v>
      </c>
      <c r="P207" s="12">
        <f t="shared" si="36"/>
        <v>0.43189540033273194</v>
      </c>
      <c r="Q207" s="12">
        <f t="shared" si="37"/>
        <v>0.16375848466541099</v>
      </c>
      <c r="R207" s="12">
        <f t="shared" si="38"/>
        <v>0.37328364858844021</v>
      </c>
      <c r="S207" s="12">
        <f t="shared" si="39"/>
        <v>0.42006561626635341</v>
      </c>
      <c r="T207" s="12">
        <f t="shared" si="40"/>
        <v>0</v>
      </c>
      <c r="U207" s="13">
        <f t="shared" si="41"/>
        <v>2.0651951196796126</v>
      </c>
      <c r="V207" s="13">
        <f t="shared" si="42"/>
        <v>17.657378901313216</v>
      </c>
      <c r="W207" s="12">
        <f t="shared" si="43"/>
        <v>0.23510485492674518</v>
      </c>
      <c r="X207" s="12">
        <f t="shared" si="44"/>
        <v>0.43760850694444442</v>
      </c>
      <c r="Y207" s="13">
        <f t="shared" si="45"/>
        <v>7.3492822966507179</v>
      </c>
      <c r="Z207" s="13">
        <f t="shared" si="46"/>
        <v>18.165503175282119</v>
      </c>
      <c r="AA207" s="13">
        <f t="shared" si="47"/>
        <v>1253877551.0204082</v>
      </c>
    </row>
    <row r="208" spans="1:27" x14ac:dyDescent="0.25">
      <c r="A208" s="10" t="s">
        <v>267</v>
      </c>
      <c r="B208" s="11">
        <v>-87600000</v>
      </c>
      <c r="C208" s="11">
        <v>2037800000</v>
      </c>
      <c r="D208" s="11">
        <v>6195700000</v>
      </c>
      <c r="E208" s="11">
        <v>885800000</v>
      </c>
      <c r="F208" s="11">
        <v>1441000000</v>
      </c>
      <c r="G208" s="11">
        <v>1626300000</v>
      </c>
      <c r="H208" s="11">
        <v>8283800000</v>
      </c>
      <c r="I208" s="11">
        <v>30016700000</v>
      </c>
      <c r="J208" s="11">
        <v>13469600000</v>
      </c>
      <c r="K208" s="11"/>
      <c r="L208" s="11">
        <v>19133445182.23</v>
      </c>
      <c r="M208" s="11"/>
      <c r="N208" s="11">
        <v>-0.16</v>
      </c>
      <c r="O208" s="11">
        <v>537700000</v>
      </c>
      <c r="P208" s="12">
        <f t="shared" si="36"/>
        <v>-1.0574856949709071E-2</v>
      </c>
      <c r="Q208" s="12">
        <f t="shared" si="37"/>
        <v>-2.9183754376730289E-3</v>
      </c>
      <c r="R208" s="12">
        <f t="shared" si="38"/>
        <v>-4.2987535577583669E-2</v>
      </c>
      <c r="S208" s="12">
        <f t="shared" si="39"/>
        <v>0.43468446363725588</v>
      </c>
      <c r="T208" s="12">
        <f t="shared" si="40"/>
        <v>3.0403866915300815</v>
      </c>
      <c r="U208" s="13">
        <f t="shared" si="41"/>
        <v>9.3473976405274115</v>
      </c>
      <c r="V208" s="13">
        <f t="shared" si="42"/>
        <v>22.625291590721719</v>
      </c>
      <c r="W208" s="12">
        <f t="shared" si="43"/>
        <v>7.4760727058758636E-2</v>
      </c>
      <c r="X208" s="12">
        <f t="shared" si="44"/>
        <v>0</v>
      </c>
      <c r="Y208" s="13">
        <f t="shared" si="45"/>
        <v>-0.1629161242328436</v>
      </c>
      <c r="Z208" s="13">
        <f t="shared" si="46"/>
        <v>-218.41832399805935</v>
      </c>
      <c r="AA208" s="13">
        <f t="shared" si="47"/>
        <v>547500000</v>
      </c>
    </row>
    <row r="209" spans="1:27" x14ac:dyDescent="0.25">
      <c r="A209" s="10" t="s">
        <v>268</v>
      </c>
      <c r="B209" s="11">
        <v>1177201000</v>
      </c>
      <c r="C209" s="11">
        <v>6073515000</v>
      </c>
      <c r="D209" s="11">
        <v>1364208000</v>
      </c>
      <c r="E209" s="11">
        <v>1376509000</v>
      </c>
      <c r="F209" s="11">
        <v>1406509000</v>
      </c>
      <c r="G209" s="11">
        <v>1229793000</v>
      </c>
      <c r="H209" s="11">
        <v>5755006000</v>
      </c>
      <c r="I209" s="11">
        <v>30965851000</v>
      </c>
      <c r="J209" s="11">
        <v>1629559000</v>
      </c>
      <c r="K209" s="11"/>
      <c r="L209" s="11">
        <v>13887541999.85</v>
      </c>
      <c r="M209" s="11">
        <v>87282000</v>
      </c>
      <c r="N209" s="11">
        <v>14.76</v>
      </c>
      <c r="O209" s="11">
        <v>79740525</v>
      </c>
      <c r="P209" s="12">
        <f t="shared" si="36"/>
        <v>0.20455252348998421</v>
      </c>
      <c r="Q209" s="12">
        <f t="shared" si="37"/>
        <v>3.8016103610393266E-2</v>
      </c>
      <c r="R209" s="12">
        <f t="shared" si="38"/>
        <v>0.19382532190996482</v>
      </c>
      <c r="S209" s="12">
        <f t="shared" si="39"/>
        <v>0.22664124481457606</v>
      </c>
      <c r="T209" s="12">
        <f t="shared" si="40"/>
        <v>0.22461589376168495</v>
      </c>
      <c r="U209" s="13">
        <f t="shared" si="41"/>
        <v>1.1585841256614782</v>
      </c>
      <c r="V209" s="13">
        <f t="shared" si="42"/>
        <v>11.032351019332262</v>
      </c>
      <c r="W209" s="12">
        <f t="shared" si="43"/>
        <v>0.16653560500855499</v>
      </c>
      <c r="X209" s="12">
        <f t="shared" si="44"/>
        <v>7.4143667903781935E-2</v>
      </c>
      <c r="Y209" s="13">
        <f t="shared" si="45"/>
        <v>14.762895027340239</v>
      </c>
      <c r="Z209" s="13">
        <f t="shared" si="46"/>
        <v>11.797086478732179</v>
      </c>
      <c r="AA209" s="13">
        <f t="shared" si="47"/>
        <v>79756165.311653122</v>
      </c>
    </row>
    <row r="210" spans="1:27" x14ac:dyDescent="0.25">
      <c r="A210" s="10" t="s">
        <v>269</v>
      </c>
      <c r="B210" s="11">
        <v>1810000000</v>
      </c>
      <c r="C210" s="11">
        <v>16321000000</v>
      </c>
      <c r="D210" s="11">
        <v>5935000000</v>
      </c>
      <c r="E210" s="11">
        <v>2473000000</v>
      </c>
      <c r="F210" s="11">
        <v>3753000000</v>
      </c>
      <c r="G210" s="11"/>
      <c r="H210" s="11">
        <v>11264000000</v>
      </c>
      <c r="I210" s="11">
        <v>31253000000</v>
      </c>
      <c r="J210" s="11"/>
      <c r="K210" s="11"/>
      <c r="L210" s="11">
        <v>165569508975.82999</v>
      </c>
      <c r="M210" s="11"/>
      <c r="N210" s="11">
        <v>2.08</v>
      </c>
      <c r="O210" s="11">
        <v>871000000</v>
      </c>
      <c r="P210" s="12">
        <f t="shared" si="36"/>
        <v>0.16068892045454544</v>
      </c>
      <c r="Q210" s="12">
        <f t="shared" si="37"/>
        <v>5.7914440213739482E-2</v>
      </c>
      <c r="R210" s="12">
        <f t="shared" si="38"/>
        <v>0.11090006739783101</v>
      </c>
      <c r="S210" s="12">
        <f t="shared" si="39"/>
        <v>0.15152257827339011</v>
      </c>
      <c r="T210" s="12">
        <f t="shared" si="40"/>
        <v>0.36364193370504261</v>
      </c>
      <c r="U210" s="13">
        <f t="shared" si="41"/>
        <v>0</v>
      </c>
      <c r="V210" s="13">
        <f t="shared" si="42"/>
        <v>44.116575799581668</v>
      </c>
      <c r="W210" s="12">
        <f t="shared" si="43"/>
        <v>0</v>
      </c>
      <c r="X210" s="12">
        <f t="shared" si="44"/>
        <v>0</v>
      </c>
      <c r="Y210" s="13">
        <f t="shared" si="45"/>
        <v>2.0780711825487943</v>
      </c>
      <c r="Z210" s="13">
        <f t="shared" si="46"/>
        <v>91.474866837475133</v>
      </c>
      <c r="AA210" s="13">
        <f t="shared" si="47"/>
        <v>870192307.69230771</v>
      </c>
    </row>
    <row r="211" spans="1:27" x14ac:dyDescent="0.25">
      <c r="A211" s="10" t="s">
        <v>270</v>
      </c>
      <c r="B211" s="11">
        <v>2540000000</v>
      </c>
      <c r="C211" s="11">
        <v>184623000000</v>
      </c>
      <c r="D211" s="11"/>
      <c r="E211" s="11">
        <v>2483000000</v>
      </c>
      <c r="F211" s="11">
        <v>14534000000</v>
      </c>
      <c r="G211" s="11">
        <v>14757000000</v>
      </c>
      <c r="H211" s="11">
        <v>63515500000</v>
      </c>
      <c r="I211" s="11">
        <v>280974000000</v>
      </c>
      <c r="J211" s="11"/>
      <c r="K211" s="11"/>
      <c r="L211" s="11">
        <v>69112638572.580002</v>
      </c>
      <c r="M211" s="11">
        <v>705000000</v>
      </c>
      <c r="N211" s="11">
        <v>2.74</v>
      </c>
      <c r="O211" s="11">
        <v>926000000</v>
      </c>
      <c r="P211" s="12">
        <f t="shared" si="36"/>
        <v>3.9990238603175604E-2</v>
      </c>
      <c r="Q211" s="12">
        <f t="shared" si="37"/>
        <v>9.0399823471210856E-3</v>
      </c>
      <c r="R211" s="12">
        <f t="shared" si="38"/>
        <v>1.3757765825493031E-2</v>
      </c>
      <c r="S211" s="12">
        <f t="shared" si="39"/>
        <v>1.3449028560905196E-2</v>
      </c>
      <c r="T211" s="12">
        <f t="shared" si="40"/>
        <v>0</v>
      </c>
      <c r="U211" s="13">
        <f t="shared" si="41"/>
        <v>0</v>
      </c>
      <c r="V211" s="13">
        <f t="shared" si="42"/>
        <v>4.7552386523035644</v>
      </c>
      <c r="W211" s="12">
        <f t="shared" si="43"/>
        <v>0.23233698860907967</v>
      </c>
      <c r="X211" s="12">
        <f t="shared" si="44"/>
        <v>0.27755905511811024</v>
      </c>
      <c r="Y211" s="13">
        <f t="shared" si="45"/>
        <v>2.7429805615550755</v>
      </c>
      <c r="Z211" s="13">
        <f t="shared" si="46"/>
        <v>27.209700225425198</v>
      </c>
      <c r="AA211" s="13">
        <f t="shared" si="47"/>
        <v>927007299.27007294</v>
      </c>
    </row>
    <row r="212" spans="1:27" x14ac:dyDescent="0.25">
      <c r="A212" s="10" t="s">
        <v>271</v>
      </c>
      <c r="B212" s="11">
        <v>188967000</v>
      </c>
      <c r="C212" s="11">
        <v>4326391000</v>
      </c>
      <c r="D212" s="11">
        <v>1649987000</v>
      </c>
      <c r="E212" s="11">
        <v>322844000</v>
      </c>
      <c r="F212" s="11">
        <v>517679000</v>
      </c>
      <c r="G212" s="11">
        <v>330801000</v>
      </c>
      <c r="H212" s="11">
        <v>2571958000</v>
      </c>
      <c r="I212" s="11">
        <v>5593263000</v>
      </c>
      <c r="J212" s="11">
        <v>1480000000</v>
      </c>
      <c r="K212" s="11"/>
      <c r="L212" s="11">
        <v>13884767136.59</v>
      </c>
      <c r="M212" s="11">
        <v>293000</v>
      </c>
      <c r="N212" s="11">
        <v>3.19</v>
      </c>
      <c r="O212" s="11">
        <v>59233144</v>
      </c>
      <c r="P212" s="12">
        <f t="shared" si="36"/>
        <v>7.3472039590071064E-2</v>
      </c>
      <c r="Q212" s="12">
        <f t="shared" si="37"/>
        <v>3.37847514053961E-2</v>
      </c>
      <c r="R212" s="12">
        <f t="shared" si="38"/>
        <v>4.3677744337023629E-2</v>
      </c>
      <c r="S212" s="12">
        <f t="shared" si="39"/>
        <v>7.4622011741426048E-2</v>
      </c>
      <c r="T212" s="12">
        <f t="shared" si="40"/>
        <v>0.38137722642266964</v>
      </c>
      <c r="U212" s="13">
        <f t="shared" si="41"/>
        <v>2.8589145010711272</v>
      </c>
      <c r="V212" s="13">
        <f t="shared" si="42"/>
        <v>29.68010511647179</v>
      </c>
      <c r="W212" s="12">
        <f t="shared" si="43"/>
        <v>8.1639789948464422E-2</v>
      </c>
      <c r="X212" s="12">
        <f t="shared" si="44"/>
        <v>1.5505352786465362E-3</v>
      </c>
      <c r="Y212" s="13">
        <f t="shared" si="45"/>
        <v>3.1902240407836531</v>
      </c>
      <c r="Z212" s="13">
        <f t="shared" si="46"/>
        <v>73.477205737456799</v>
      </c>
      <c r="AA212" s="13">
        <f t="shared" si="47"/>
        <v>59237304.075235114</v>
      </c>
    </row>
    <row r="213" spans="1:27" x14ac:dyDescent="0.25">
      <c r="A213" s="10" t="s">
        <v>272</v>
      </c>
      <c r="B213" s="11">
        <v>160208000000</v>
      </c>
      <c r="C213" s="11">
        <v>422498000000</v>
      </c>
      <c r="D213" s="11"/>
      <c r="E213" s="11">
        <v>138129000000</v>
      </c>
      <c r="F213" s="11">
        <v>161260000000</v>
      </c>
      <c r="G213" s="11">
        <v>64429000000</v>
      </c>
      <c r="H213" s="11">
        <v>412006500000</v>
      </c>
      <c r="I213" s="11">
        <v>703919000000</v>
      </c>
      <c r="J213" s="11">
        <v>49085000000</v>
      </c>
      <c r="K213" s="11"/>
      <c r="L213" s="11">
        <v>4379381649015.4399</v>
      </c>
      <c r="M213" s="11">
        <v>10157000000</v>
      </c>
      <c r="N213" s="11">
        <v>13.09</v>
      </c>
      <c r="O213" s="11">
        <v>12238000000</v>
      </c>
      <c r="P213" s="12">
        <f t="shared" si="36"/>
        <v>0.38884823419047998</v>
      </c>
      <c r="Q213" s="12">
        <f t="shared" si="37"/>
        <v>0.22759436810201172</v>
      </c>
      <c r="R213" s="12">
        <f t="shared" si="38"/>
        <v>0.37919232753764515</v>
      </c>
      <c r="S213" s="12">
        <f t="shared" si="39"/>
        <v>0.32693409199570178</v>
      </c>
      <c r="T213" s="12">
        <f t="shared" si="40"/>
        <v>0</v>
      </c>
      <c r="U213" s="13">
        <f t="shared" si="41"/>
        <v>0.30438422423415601</v>
      </c>
      <c r="V213" s="13">
        <f t="shared" si="42"/>
        <v>27.461656015226588</v>
      </c>
      <c r="W213" s="12">
        <f t="shared" si="43"/>
        <v>0.13973148496556539</v>
      </c>
      <c r="X213" s="12">
        <f t="shared" si="44"/>
        <v>6.339883151902527E-2</v>
      </c>
      <c r="Y213" s="13">
        <f t="shared" si="45"/>
        <v>13.091027945742768</v>
      </c>
      <c r="Z213" s="13">
        <f t="shared" si="46"/>
        <v>27.335599027610606</v>
      </c>
      <c r="AA213" s="13">
        <f t="shared" si="47"/>
        <v>12238961038.961039</v>
      </c>
    </row>
    <row r="214" spans="1:27" x14ac:dyDescent="0.25">
      <c r="A214" s="10" t="s">
        <v>273</v>
      </c>
      <c r="B214" s="11">
        <v>60088000</v>
      </c>
      <c r="C214" s="11">
        <v>24699012000</v>
      </c>
      <c r="D214" s="11">
        <v>9105978000</v>
      </c>
      <c r="E214" s="11"/>
      <c r="F214" s="11"/>
      <c r="G214" s="11">
        <v>547955000</v>
      </c>
      <c r="H214" s="11">
        <v>4462675000</v>
      </c>
      <c r="I214" s="11">
        <v>20976577000</v>
      </c>
      <c r="J214" s="11">
        <v>4795751000</v>
      </c>
      <c r="K214" s="11"/>
      <c r="L214" s="11">
        <v>17288703894.139999</v>
      </c>
      <c r="M214" s="11">
        <v>571233000</v>
      </c>
      <c r="N214" s="11">
        <v>0.44</v>
      </c>
      <c r="O214" s="11">
        <v>138030000</v>
      </c>
      <c r="P214" s="12">
        <f t="shared" si="36"/>
        <v>1.3464570016862083E-2</v>
      </c>
      <c r="Q214" s="12">
        <f t="shared" si="37"/>
        <v>2.8645283737189341E-3</v>
      </c>
      <c r="R214" s="12">
        <f t="shared" si="38"/>
        <v>2.4328098630018074E-3</v>
      </c>
      <c r="S214" s="12">
        <f t="shared" si="39"/>
        <v>0</v>
      </c>
      <c r="T214" s="12">
        <f t="shared" si="40"/>
        <v>0.36867782403603838</v>
      </c>
      <c r="U214" s="13" t="str">
        <f t="shared" si="41"/>
        <v/>
      </c>
      <c r="V214" s="13" t="str">
        <f t="shared" si="42"/>
        <v/>
      </c>
      <c r="W214" s="12">
        <f t="shared" si="43"/>
        <v>5.9184466128475832E-2</v>
      </c>
      <c r="X214" s="12">
        <f t="shared" si="44"/>
        <v>9.5066069764345631</v>
      </c>
      <c r="Y214" s="13">
        <f t="shared" si="45"/>
        <v>0.43532565384336741</v>
      </c>
      <c r="Z214" s="13">
        <f t="shared" si="46"/>
        <v>287.72307106477166</v>
      </c>
      <c r="AA214" s="13">
        <f t="shared" si="47"/>
        <v>136563636.36363637</v>
      </c>
    </row>
    <row r="215" spans="1:27" x14ac:dyDescent="0.25">
      <c r="A215" s="10" t="s">
        <v>274</v>
      </c>
      <c r="B215" s="11">
        <v>-705505000</v>
      </c>
      <c r="C215" s="11">
        <v>8263462000</v>
      </c>
      <c r="D215" s="11"/>
      <c r="E215" s="11">
        <v>1268093000</v>
      </c>
      <c r="F215" s="11">
        <v>2909950000</v>
      </c>
      <c r="G215" s="11">
        <v>1061119000</v>
      </c>
      <c r="H215" s="11">
        <v>23020353000</v>
      </c>
      <c r="I215" s="11">
        <v>64254841000</v>
      </c>
      <c r="J215" s="11">
        <v>22696960000</v>
      </c>
      <c r="K215" s="11"/>
      <c r="L215" s="11">
        <v>20346165299.349998</v>
      </c>
      <c r="M215" s="11"/>
      <c r="N215" s="11">
        <v>-2.58</v>
      </c>
      <c r="O215" s="11">
        <v>273223000</v>
      </c>
      <c r="P215" s="12">
        <f t="shared" si="36"/>
        <v>-3.0647010495451567E-2</v>
      </c>
      <c r="Q215" s="12">
        <f t="shared" si="37"/>
        <v>-1.0979795281105745E-2</v>
      </c>
      <c r="R215" s="12">
        <f t="shared" si="38"/>
        <v>-8.5376443916605413E-2</v>
      </c>
      <c r="S215" s="12">
        <f t="shared" si="39"/>
        <v>0.15345783643707686</v>
      </c>
      <c r="T215" s="12">
        <f t="shared" si="40"/>
        <v>0</v>
      </c>
      <c r="U215" s="13">
        <f t="shared" si="41"/>
        <v>7.7997766284644063</v>
      </c>
      <c r="V215" s="13">
        <f t="shared" si="42"/>
        <v>14.791706145930341</v>
      </c>
      <c r="W215" s="12">
        <f t="shared" si="43"/>
        <v>2.3210441086071704E-2</v>
      </c>
      <c r="X215" s="12">
        <f t="shared" si="44"/>
        <v>0</v>
      </c>
      <c r="Y215" s="13">
        <f t="shared" si="45"/>
        <v>-2.5821581638441859</v>
      </c>
      <c r="Z215" s="13">
        <f t="shared" si="46"/>
        <v>-28.839151103606635</v>
      </c>
      <c r="AA215" s="13">
        <f t="shared" si="47"/>
        <v>273451550.38759691</v>
      </c>
    </row>
    <row r="216" spans="1:27" x14ac:dyDescent="0.25">
      <c r="A216" s="10" t="s">
        <v>275</v>
      </c>
      <c r="B216" s="11">
        <v>1736196000</v>
      </c>
      <c r="C216" s="11">
        <v>7463909000</v>
      </c>
      <c r="D216" s="11">
        <v>4414047000</v>
      </c>
      <c r="E216" s="11">
        <v>1974917000</v>
      </c>
      <c r="F216" s="11">
        <v>2130483000</v>
      </c>
      <c r="G216" s="11">
        <v>1451558000</v>
      </c>
      <c r="H216" s="11">
        <v>8725251000</v>
      </c>
      <c r="I216" s="11">
        <v>10952438000</v>
      </c>
      <c r="J216" s="11"/>
      <c r="K216" s="11"/>
      <c r="L216" s="11">
        <v>47155269869.669998</v>
      </c>
      <c r="M216" s="11">
        <v>692956000</v>
      </c>
      <c r="N216" s="11">
        <v>8.9700000000000006</v>
      </c>
      <c r="O216" s="11">
        <v>193565000</v>
      </c>
      <c r="P216" s="12">
        <f t="shared" si="36"/>
        <v>0.1989852211701417</v>
      </c>
      <c r="Q216" s="12">
        <f t="shared" si="37"/>
        <v>0.15852141778844125</v>
      </c>
      <c r="R216" s="12">
        <f t="shared" si="38"/>
        <v>0.23261216073239907</v>
      </c>
      <c r="S216" s="12">
        <f t="shared" si="39"/>
        <v>0.2645955356636851</v>
      </c>
      <c r="T216" s="12">
        <f t="shared" si="40"/>
        <v>0.59138542551898743</v>
      </c>
      <c r="U216" s="13">
        <f t="shared" si="41"/>
        <v>0</v>
      </c>
      <c r="V216" s="13">
        <f t="shared" si="42"/>
        <v>22.133605323145034</v>
      </c>
      <c r="W216" s="12">
        <f t="shared" si="43"/>
        <v>0.16636289317063774</v>
      </c>
      <c r="X216" s="12">
        <f t="shared" si="44"/>
        <v>0.39912314047492337</v>
      </c>
      <c r="Y216" s="13">
        <f t="shared" si="45"/>
        <v>8.9695761113837733</v>
      </c>
      <c r="Z216" s="13">
        <f t="shared" si="46"/>
        <v>27.1601074243173</v>
      </c>
      <c r="AA216" s="13">
        <f t="shared" si="47"/>
        <v>193555852.84280935</v>
      </c>
    </row>
    <row r="217" spans="1:27" x14ac:dyDescent="0.25">
      <c r="A217" s="10" t="s">
        <v>276</v>
      </c>
      <c r="B217" s="11">
        <v>18068000000</v>
      </c>
      <c r="C217" s="11"/>
      <c r="D217" s="11"/>
      <c r="E217" s="11"/>
      <c r="F217" s="11"/>
      <c r="G217" s="11">
        <v>-41922000000</v>
      </c>
      <c r="H217" s="11">
        <v>123541000000</v>
      </c>
      <c r="I217" s="11">
        <v>2060180000000</v>
      </c>
      <c r="J217" s="11"/>
      <c r="K217" s="11"/>
      <c r="L217" s="11">
        <v>311518977710.57001</v>
      </c>
      <c r="M217" s="11">
        <v>5750000000</v>
      </c>
      <c r="N217" s="11">
        <v>58.66</v>
      </c>
      <c r="O217" s="11">
        <v>308000000</v>
      </c>
      <c r="P217" s="12">
        <f t="shared" si="36"/>
        <v>0.14625104216413984</v>
      </c>
      <c r="Q217" s="12">
        <f t="shared" si="37"/>
        <v>8.7701074663378929E-3</v>
      </c>
      <c r="R217" s="12" t="str">
        <f t="shared" si="38"/>
        <v/>
      </c>
      <c r="S217" s="12" t="str">
        <f t="shared" si="39"/>
        <v/>
      </c>
      <c r="T217" s="12" t="str">
        <f t="shared" si="40"/>
        <v/>
      </c>
      <c r="U217" s="13" t="str">
        <f t="shared" si="41"/>
        <v/>
      </c>
      <c r="V217" s="13" t="str">
        <f t="shared" si="42"/>
        <v/>
      </c>
      <c r="W217" s="12">
        <f t="shared" si="43"/>
        <v>-0.33933673841073003</v>
      </c>
      <c r="X217" s="12">
        <f t="shared" si="44"/>
        <v>0.31824219614788579</v>
      </c>
      <c r="Y217" s="13">
        <f t="shared" si="45"/>
        <v>58.662337662337663</v>
      </c>
      <c r="Z217" s="13">
        <f t="shared" si="46"/>
        <v>17.241475410148883</v>
      </c>
      <c r="AA217" s="13">
        <f t="shared" si="47"/>
        <v>308012274.12205935</v>
      </c>
    </row>
    <row r="218" spans="1:27" x14ac:dyDescent="0.25">
      <c r="A218" s="10" t="s">
        <v>277</v>
      </c>
      <c r="B218" s="11">
        <v>1782000000</v>
      </c>
      <c r="C218" s="11">
        <v>18378000000</v>
      </c>
      <c r="D218" s="11">
        <v>7195000000</v>
      </c>
      <c r="E218" s="11">
        <v>2616000000</v>
      </c>
      <c r="F218" s="11">
        <v>2947000000</v>
      </c>
      <c r="G218" s="11">
        <v>1379000000</v>
      </c>
      <c r="H218" s="11">
        <v>3705000000</v>
      </c>
      <c r="I218" s="11">
        <v>9473000000</v>
      </c>
      <c r="J218" s="11">
        <v>2411000000</v>
      </c>
      <c r="K218" s="11"/>
      <c r="L218" s="11">
        <v>64439296906.739998</v>
      </c>
      <c r="M218" s="11">
        <v>460000000</v>
      </c>
      <c r="N218" s="11">
        <v>37.590000000000003</v>
      </c>
      <c r="O218" s="11">
        <v>47400000</v>
      </c>
      <c r="P218" s="12">
        <f t="shared" si="36"/>
        <v>0.48097165991902835</v>
      </c>
      <c r="Q218" s="12">
        <f t="shared" si="37"/>
        <v>0.18811358598120975</v>
      </c>
      <c r="R218" s="12">
        <f t="shared" si="38"/>
        <v>9.6963761018609207E-2</v>
      </c>
      <c r="S218" s="12">
        <f t="shared" si="39"/>
        <v>0.14234410708455764</v>
      </c>
      <c r="T218" s="12">
        <f t="shared" si="40"/>
        <v>0.39150070736750464</v>
      </c>
      <c r="U218" s="13">
        <f t="shared" si="41"/>
        <v>0.81812012215812691</v>
      </c>
      <c r="V218" s="13">
        <f t="shared" si="42"/>
        <v>22.684186259497793</v>
      </c>
      <c r="W218" s="12">
        <f t="shared" si="43"/>
        <v>0.22547416612164814</v>
      </c>
      <c r="X218" s="12">
        <f t="shared" si="44"/>
        <v>0.25813692480359146</v>
      </c>
      <c r="Y218" s="13">
        <f t="shared" si="45"/>
        <v>37.594936708860757</v>
      </c>
      <c r="Z218" s="13">
        <f t="shared" si="46"/>
        <v>36.161221608720538</v>
      </c>
      <c r="AA218" s="13">
        <f t="shared" si="47"/>
        <v>47406225.05985634</v>
      </c>
    </row>
    <row r="219" spans="1:27" x14ac:dyDescent="0.25">
      <c r="A219" s="10" t="s">
        <v>278</v>
      </c>
      <c r="B219" s="11">
        <v>1540000000</v>
      </c>
      <c r="C219" s="11"/>
      <c r="D219" s="11"/>
      <c r="E219" s="11"/>
      <c r="F219" s="11">
        <v>3662000000</v>
      </c>
      <c r="G219" s="11">
        <v>1678000000</v>
      </c>
      <c r="H219" s="11">
        <v>10573500000</v>
      </c>
      <c r="I219" s="11">
        <v>25142000000</v>
      </c>
      <c r="J219" s="11">
        <v>7070000000</v>
      </c>
      <c r="K219" s="11"/>
      <c r="L219" s="11">
        <v>28503769825.900002</v>
      </c>
      <c r="M219" s="11">
        <v>574000000</v>
      </c>
      <c r="N219" s="11">
        <v>1.84</v>
      </c>
      <c r="O219" s="11">
        <v>839000000</v>
      </c>
      <c r="P219" s="12">
        <f t="shared" si="36"/>
        <v>0.14564713670969878</v>
      </c>
      <c r="Q219" s="12">
        <f t="shared" si="37"/>
        <v>6.1252088139368388E-2</v>
      </c>
      <c r="R219" s="12" t="str">
        <f t="shared" si="38"/>
        <v/>
      </c>
      <c r="S219" s="12" t="str">
        <f t="shared" si="39"/>
        <v/>
      </c>
      <c r="T219" s="12" t="str">
        <f t="shared" si="40"/>
        <v/>
      </c>
      <c r="U219" s="13">
        <f t="shared" si="41"/>
        <v>1.9306389950846532</v>
      </c>
      <c r="V219" s="13">
        <f t="shared" si="42"/>
        <v>9.7143008809120701</v>
      </c>
      <c r="W219" s="12">
        <f t="shared" si="43"/>
        <v>9.5105846345679715E-2</v>
      </c>
      <c r="X219" s="12">
        <f t="shared" si="44"/>
        <v>0.37272727272727274</v>
      </c>
      <c r="Y219" s="13">
        <f t="shared" si="45"/>
        <v>1.835518474374255</v>
      </c>
      <c r="Z219" s="13">
        <f t="shared" si="46"/>
        <v>18.50894144538961</v>
      </c>
      <c r="AA219" s="13">
        <f t="shared" si="47"/>
        <v>836956521.73913038</v>
      </c>
    </row>
    <row r="220" spans="1:27" x14ac:dyDescent="0.25">
      <c r="A220" s="10" t="s">
        <v>279</v>
      </c>
      <c r="B220" s="11">
        <v>-222600000</v>
      </c>
      <c r="C220" s="11">
        <v>5472900000</v>
      </c>
      <c r="D220" s="11"/>
      <c r="E220" s="11">
        <v>110700000</v>
      </c>
      <c r="F220" s="11">
        <v>237900000</v>
      </c>
      <c r="G220" s="11">
        <v>1021100000</v>
      </c>
      <c r="H220" s="11"/>
      <c r="I220" s="11">
        <v>5930300000</v>
      </c>
      <c r="J220" s="11">
        <v>4660015000</v>
      </c>
      <c r="K220" s="11"/>
      <c r="L220" s="11">
        <v>10949964567.52</v>
      </c>
      <c r="M220" s="11"/>
      <c r="N220" s="11">
        <v>-1.55</v>
      </c>
      <c r="O220" s="11">
        <v>143200000</v>
      </c>
      <c r="P220" s="12" t="str">
        <f t="shared" si="36"/>
        <v/>
      </c>
      <c r="Q220" s="12">
        <f t="shared" si="37"/>
        <v>-3.7536043707738227E-2</v>
      </c>
      <c r="R220" s="12">
        <f t="shared" si="38"/>
        <v>-4.0673134901057943E-2</v>
      </c>
      <c r="S220" s="12">
        <f t="shared" si="39"/>
        <v>2.0226936359151456E-2</v>
      </c>
      <c r="T220" s="12">
        <f t="shared" si="40"/>
        <v>0</v>
      </c>
      <c r="U220" s="13">
        <f t="shared" si="41"/>
        <v>19.588125262715426</v>
      </c>
      <c r="V220" s="13">
        <f t="shared" si="42"/>
        <v>65.615719073224042</v>
      </c>
      <c r="W220" s="12">
        <f t="shared" si="43"/>
        <v>0.21911946635364907</v>
      </c>
      <c r="X220" s="12">
        <f t="shared" si="44"/>
        <v>0</v>
      </c>
      <c r="Y220" s="13">
        <f t="shared" si="45"/>
        <v>-1.5544692737430168</v>
      </c>
      <c r="Z220" s="13">
        <f t="shared" si="46"/>
        <v>-49.191215487511236</v>
      </c>
      <c r="AA220" s="13">
        <f t="shared" si="47"/>
        <v>143612903.22580644</v>
      </c>
    </row>
    <row r="221" spans="1:27" x14ac:dyDescent="0.25">
      <c r="A221" s="10" t="s">
        <v>280</v>
      </c>
      <c r="B221" s="11">
        <v>2207000000</v>
      </c>
      <c r="C221" s="11">
        <v>1683000000</v>
      </c>
      <c r="D221" s="11"/>
      <c r="E221" s="11"/>
      <c r="F221" s="11"/>
      <c r="G221" s="11">
        <v>2156000000</v>
      </c>
      <c r="H221" s="11">
        <v>26484500000</v>
      </c>
      <c r="I221" s="11">
        <v>285372000000</v>
      </c>
      <c r="J221" s="11">
        <v>21594000000</v>
      </c>
      <c r="K221" s="11"/>
      <c r="L221" s="11">
        <v>36001839689.089996</v>
      </c>
      <c r="M221" s="11">
        <v>930000000</v>
      </c>
      <c r="N221" s="11">
        <v>1.1599999999999999</v>
      </c>
      <c r="O221" s="11">
        <v>1900647000</v>
      </c>
      <c r="P221" s="12">
        <f t="shared" si="36"/>
        <v>8.3331760086088086E-2</v>
      </c>
      <c r="Q221" s="12">
        <f t="shared" si="37"/>
        <v>7.7337650505305356E-3</v>
      </c>
      <c r="R221" s="12">
        <f t="shared" si="38"/>
        <v>1.3113487819370173</v>
      </c>
      <c r="S221" s="12">
        <f t="shared" si="39"/>
        <v>0</v>
      </c>
      <c r="T221" s="12">
        <f t="shared" si="40"/>
        <v>0</v>
      </c>
      <c r="U221" s="13" t="str">
        <f t="shared" si="41"/>
        <v/>
      </c>
      <c r="V221" s="13" t="str">
        <f t="shared" si="42"/>
        <v/>
      </c>
      <c r="W221" s="12">
        <f t="shared" si="43"/>
        <v>4.4843329138804247E-2</v>
      </c>
      <c r="X221" s="12">
        <f t="shared" si="44"/>
        <v>0.42138649750792934</v>
      </c>
      <c r="Y221" s="13">
        <f t="shared" si="45"/>
        <v>1.1611835338176948</v>
      </c>
      <c r="Z221" s="13">
        <f t="shared" si="46"/>
        <v>16.312568957449024</v>
      </c>
      <c r="AA221" s="13">
        <f t="shared" si="47"/>
        <v>1902586206.8965518</v>
      </c>
    </row>
    <row r="222" spans="1:27" x14ac:dyDescent="0.25">
      <c r="A222" s="10" t="s">
        <v>281</v>
      </c>
      <c r="B222" s="11">
        <v>6794000000</v>
      </c>
      <c r="C222" s="11">
        <v>76388000000</v>
      </c>
      <c r="D222" s="11"/>
      <c r="E222" s="11"/>
      <c r="F222" s="11"/>
      <c r="G222" s="11">
        <v>7927000000</v>
      </c>
      <c r="H222" s="11">
        <v>-4911000000</v>
      </c>
      <c r="I222" s="11">
        <v>61450000000</v>
      </c>
      <c r="J222" s="11">
        <v>44373000000</v>
      </c>
      <c r="K222" s="11"/>
      <c r="L222" s="11">
        <v>90734698764.399994</v>
      </c>
      <c r="M222" s="11">
        <v>682000000</v>
      </c>
      <c r="N222" s="11">
        <v>29.98</v>
      </c>
      <c r="O222" s="11">
        <v>226652000</v>
      </c>
      <c r="P222" s="12">
        <f t="shared" si="36"/>
        <v>-1.3834249643657097</v>
      </c>
      <c r="Q222" s="12">
        <f t="shared" si="37"/>
        <v>0.11056143205858421</v>
      </c>
      <c r="R222" s="12">
        <f t="shared" si="38"/>
        <v>8.8940671309629779E-2</v>
      </c>
      <c r="S222" s="12">
        <f t="shared" si="39"/>
        <v>0</v>
      </c>
      <c r="T222" s="12">
        <f t="shared" si="40"/>
        <v>0</v>
      </c>
      <c r="U222" s="13" t="str">
        <f t="shared" si="41"/>
        <v/>
      </c>
      <c r="V222" s="13" t="str">
        <f t="shared" si="42"/>
        <v/>
      </c>
      <c r="W222" s="12">
        <f t="shared" si="43"/>
        <v>0.20087679286402108</v>
      </c>
      <c r="X222" s="12">
        <f t="shared" si="44"/>
        <v>0.1003826906093612</v>
      </c>
      <c r="Y222" s="13">
        <f t="shared" si="45"/>
        <v>29.975469000935355</v>
      </c>
      <c r="Z222" s="13">
        <f t="shared" si="46"/>
        <v>13.35512198475125</v>
      </c>
      <c r="AA222" s="13">
        <f t="shared" si="47"/>
        <v>226617745.16344228</v>
      </c>
    </row>
    <row r="223" spans="1:27" x14ac:dyDescent="0.25">
      <c r="A223" s="10" t="s">
        <v>282</v>
      </c>
      <c r="B223" s="11">
        <v>14012000000</v>
      </c>
      <c r="C223" s="11">
        <v>166592000000</v>
      </c>
      <c r="D223" s="11">
        <v>55187000000</v>
      </c>
      <c r="E223" s="11">
        <v>20738000000</v>
      </c>
      <c r="F223" s="11">
        <v>24307000000</v>
      </c>
      <c r="G223" s="11">
        <v>14315000000</v>
      </c>
      <c r="H223" s="11">
        <v>10914500000</v>
      </c>
      <c r="I223" s="11">
        <v>107904000000</v>
      </c>
      <c r="J223" s="11">
        <v>49397000000</v>
      </c>
      <c r="K223" s="11"/>
      <c r="L223" s="11">
        <v>337753344648.51001</v>
      </c>
      <c r="M223" s="11">
        <v>9186000000</v>
      </c>
      <c r="N223" s="11">
        <v>14.07</v>
      </c>
      <c r="O223" s="11">
        <v>996000000</v>
      </c>
      <c r="P223" s="12">
        <f t="shared" si="36"/>
        <v>1.2837967840945532</v>
      </c>
      <c r="Q223" s="12">
        <f t="shared" si="37"/>
        <v>0.1298561684460261</v>
      </c>
      <c r="R223" s="12">
        <f t="shared" si="38"/>
        <v>8.4109681137149436E-2</v>
      </c>
      <c r="S223" s="12">
        <f t="shared" si="39"/>
        <v>0.12448376872839031</v>
      </c>
      <c r="T223" s="12">
        <f t="shared" si="40"/>
        <v>0.3312704091432962</v>
      </c>
      <c r="U223" s="13">
        <f t="shared" si="41"/>
        <v>2.0322129427736866</v>
      </c>
      <c r="V223" s="13">
        <f t="shared" si="42"/>
        <v>15.927524772637923</v>
      </c>
      <c r="W223" s="12">
        <f t="shared" si="43"/>
        <v>0.23735108561385473</v>
      </c>
      <c r="X223" s="12">
        <f t="shared" si="44"/>
        <v>0.65558093063088785</v>
      </c>
      <c r="Y223" s="13">
        <f t="shared" si="45"/>
        <v>14.068273092369479</v>
      </c>
      <c r="Z223" s="13">
        <f t="shared" si="46"/>
        <v>24.104577836747787</v>
      </c>
      <c r="AA223" s="13">
        <f t="shared" si="47"/>
        <v>995877754.08670926</v>
      </c>
    </row>
    <row r="224" spans="1:27" x14ac:dyDescent="0.25">
      <c r="A224" s="10" t="s">
        <v>283</v>
      </c>
      <c r="B224" s="11">
        <v>4062000000</v>
      </c>
      <c r="C224" s="11">
        <v>28784000000</v>
      </c>
      <c r="D224" s="11"/>
      <c r="E224" s="11"/>
      <c r="F224" s="11"/>
      <c r="G224" s="11">
        <v>5820000000</v>
      </c>
      <c r="H224" s="11">
        <v>17866500000</v>
      </c>
      <c r="I224" s="11">
        <v>86322000000</v>
      </c>
      <c r="J224" s="11">
        <v>4372000000</v>
      </c>
      <c r="K224" s="11"/>
      <c r="L224" s="11">
        <v>37972602357.610001</v>
      </c>
      <c r="M224" s="11">
        <v>609000000</v>
      </c>
      <c r="N224" s="11">
        <v>14.51</v>
      </c>
      <c r="O224" s="11">
        <v>279900000</v>
      </c>
      <c r="P224" s="12">
        <f t="shared" si="36"/>
        <v>0.22735286709764083</v>
      </c>
      <c r="Q224" s="12">
        <f t="shared" si="37"/>
        <v>4.7056370334329606E-2</v>
      </c>
      <c r="R224" s="12">
        <f t="shared" si="38"/>
        <v>0.14112006670372429</v>
      </c>
      <c r="S224" s="12">
        <f t="shared" si="39"/>
        <v>0</v>
      </c>
      <c r="T224" s="12">
        <f t="shared" si="40"/>
        <v>0</v>
      </c>
      <c r="U224" s="13" t="str">
        <f t="shared" si="41"/>
        <v/>
      </c>
      <c r="V224" s="13" t="str">
        <f t="shared" si="42"/>
        <v/>
      </c>
      <c r="W224" s="12">
        <f t="shared" si="43"/>
        <v>0.26170829867122331</v>
      </c>
      <c r="X224" s="12">
        <f t="shared" si="44"/>
        <v>0.14992614475627769</v>
      </c>
      <c r="Y224" s="13">
        <f t="shared" si="45"/>
        <v>14.512325830653804</v>
      </c>
      <c r="Z224" s="13">
        <f t="shared" si="46"/>
        <v>9.3482526729714426</v>
      </c>
      <c r="AA224" s="13">
        <f t="shared" si="47"/>
        <v>279944865.6099242</v>
      </c>
    </row>
    <row r="225" spans="1:27" x14ac:dyDescent="0.25">
      <c r="A225" s="10" t="s">
        <v>284</v>
      </c>
      <c r="B225" s="11">
        <v>605000000</v>
      </c>
      <c r="C225" s="11">
        <v>12849000000</v>
      </c>
      <c r="D225" s="11"/>
      <c r="E225" s="11">
        <v>651000000</v>
      </c>
      <c r="F225" s="11">
        <v>977000000</v>
      </c>
      <c r="G225" s="11">
        <v>792000000</v>
      </c>
      <c r="H225" s="11">
        <v>4869500000</v>
      </c>
      <c r="I225" s="11">
        <v>12533000000</v>
      </c>
      <c r="J225" s="11">
        <v>2905000000</v>
      </c>
      <c r="K225" s="11"/>
      <c r="L225" s="11">
        <v>11277826803.389999</v>
      </c>
      <c r="M225" s="11">
        <v>214000000</v>
      </c>
      <c r="N225" s="11">
        <v>15.39</v>
      </c>
      <c r="O225" s="11">
        <v>39300000</v>
      </c>
      <c r="P225" s="12">
        <f t="shared" si="36"/>
        <v>0.1242427353937776</v>
      </c>
      <c r="Q225" s="12">
        <f t="shared" si="37"/>
        <v>4.8272560440437248E-2</v>
      </c>
      <c r="R225" s="12">
        <f t="shared" si="38"/>
        <v>4.7085376293875013E-2</v>
      </c>
      <c r="S225" s="12">
        <f t="shared" si="39"/>
        <v>5.0665421433574595E-2</v>
      </c>
      <c r="T225" s="12">
        <f t="shared" si="40"/>
        <v>0</v>
      </c>
      <c r="U225" s="13">
        <f t="shared" si="41"/>
        <v>2.9733879222108497</v>
      </c>
      <c r="V225" s="13">
        <f t="shared" si="42"/>
        <v>14.516711160071647</v>
      </c>
      <c r="W225" s="12">
        <f t="shared" si="43"/>
        <v>0.10187150299054601</v>
      </c>
      <c r="X225" s="12">
        <f t="shared" si="44"/>
        <v>0.35371900826446279</v>
      </c>
      <c r="Y225" s="13">
        <f t="shared" si="45"/>
        <v>15.394402035623409</v>
      </c>
      <c r="Z225" s="13">
        <f t="shared" si="46"/>
        <v>18.641036038661156</v>
      </c>
      <c r="AA225" s="13">
        <f t="shared" si="47"/>
        <v>39311241.065627031</v>
      </c>
    </row>
    <row r="226" spans="1:27" x14ac:dyDescent="0.25">
      <c r="A226" s="10" t="s">
        <v>285</v>
      </c>
      <c r="B226" s="11">
        <v>1542000000</v>
      </c>
      <c r="C226" s="11">
        <v>12039000000</v>
      </c>
      <c r="D226" s="11"/>
      <c r="E226" s="11">
        <v>2835000000</v>
      </c>
      <c r="F226" s="11">
        <v>3021000000</v>
      </c>
      <c r="G226" s="11">
        <v>2204000000</v>
      </c>
      <c r="H226" s="11">
        <v>-5141500000</v>
      </c>
      <c r="I226" s="11">
        <v>16385000000</v>
      </c>
      <c r="J226" s="11"/>
      <c r="K226" s="11"/>
      <c r="L226" s="11">
        <v>76865471416.339996</v>
      </c>
      <c r="M226" s="11">
        <v>141000000</v>
      </c>
      <c r="N226" s="11">
        <v>6.65</v>
      </c>
      <c r="O226" s="11">
        <v>232000000</v>
      </c>
      <c r="P226" s="12">
        <f t="shared" si="36"/>
        <v>-0.29991247690362732</v>
      </c>
      <c r="Q226" s="12">
        <f t="shared" si="37"/>
        <v>9.411046689044858E-2</v>
      </c>
      <c r="R226" s="12">
        <f t="shared" si="38"/>
        <v>0.12808372788437578</v>
      </c>
      <c r="S226" s="12">
        <f t="shared" si="39"/>
        <v>0.23548467480687765</v>
      </c>
      <c r="T226" s="12">
        <f t="shared" si="40"/>
        <v>0</v>
      </c>
      <c r="U226" s="13">
        <f t="shared" si="41"/>
        <v>0</v>
      </c>
      <c r="V226" s="13">
        <f t="shared" si="42"/>
        <v>25.443717780979807</v>
      </c>
      <c r="W226" s="12">
        <f t="shared" si="43"/>
        <v>-0.42866867645628709</v>
      </c>
      <c r="X226" s="12">
        <f t="shared" si="44"/>
        <v>9.1439688715953302E-2</v>
      </c>
      <c r="Y226" s="13">
        <f t="shared" si="45"/>
        <v>6.6465517241379306</v>
      </c>
      <c r="Z226" s="13">
        <f t="shared" si="46"/>
        <v>49.847906236277559</v>
      </c>
      <c r="AA226" s="13">
        <f t="shared" si="47"/>
        <v>231879699.24812028</v>
      </c>
    </row>
    <row r="227" spans="1:27" x14ac:dyDescent="0.25">
      <c r="A227" s="10" t="s">
        <v>286</v>
      </c>
      <c r="B227" s="11">
        <v>4101000000</v>
      </c>
      <c r="C227" s="11">
        <v>36763000000</v>
      </c>
      <c r="D227" s="11">
        <v>13829000000</v>
      </c>
      <c r="E227" s="11">
        <v>7998000000</v>
      </c>
      <c r="F227" s="11">
        <v>9369000000</v>
      </c>
      <c r="G227" s="11">
        <v>4203000000</v>
      </c>
      <c r="H227" s="11">
        <v>15526500000</v>
      </c>
      <c r="I227" s="11">
        <v>73988000000</v>
      </c>
      <c r="J227" s="11">
        <v>32109000000</v>
      </c>
      <c r="K227" s="11"/>
      <c r="L227" s="11">
        <v>70785389231.649994</v>
      </c>
      <c r="M227" s="11">
        <v>3025000000</v>
      </c>
      <c r="N227" s="11">
        <v>6.42</v>
      </c>
      <c r="O227" s="11">
        <v>638400000</v>
      </c>
      <c r="P227" s="12">
        <f t="shared" si="36"/>
        <v>0.2641290696551058</v>
      </c>
      <c r="Q227" s="12">
        <f t="shared" si="37"/>
        <v>5.5427907228199166E-2</v>
      </c>
      <c r="R227" s="12">
        <f t="shared" si="38"/>
        <v>0.1115523760302478</v>
      </c>
      <c r="S227" s="12">
        <f t="shared" si="39"/>
        <v>0.21755569458422871</v>
      </c>
      <c r="T227" s="12">
        <f t="shared" si="40"/>
        <v>0.37616625411419091</v>
      </c>
      <c r="U227" s="13">
        <f t="shared" si="41"/>
        <v>3.4271533781620236</v>
      </c>
      <c r="V227" s="13">
        <f t="shared" si="42"/>
        <v>10.982430273417654</v>
      </c>
      <c r="W227" s="12">
        <f t="shared" si="43"/>
        <v>8.8232515665837452E-2</v>
      </c>
      <c r="X227" s="12">
        <f t="shared" si="44"/>
        <v>0.7376249695196293</v>
      </c>
      <c r="Y227" s="13">
        <f t="shared" si="45"/>
        <v>6.4238721804511281</v>
      </c>
      <c r="Z227" s="13">
        <f t="shared" si="46"/>
        <v>17.260519198158985</v>
      </c>
      <c r="AA227" s="13">
        <f t="shared" si="47"/>
        <v>638785046.72897196</v>
      </c>
    </row>
    <row r="228" spans="1:27" x14ac:dyDescent="0.25">
      <c r="A228" s="10" t="s">
        <v>287</v>
      </c>
      <c r="B228" s="11">
        <v>1897000000</v>
      </c>
      <c r="C228" s="11">
        <v>4613000000</v>
      </c>
      <c r="D228" s="11"/>
      <c r="E228" s="11"/>
      <c r="F228" s="11"/>
      <c r="G228" s="11">
        <v>3030000000</v>
      </c>
      <c r="H228" s="11">
        <v>7887500000</v>
      </c>
      <c r="I228" s="11">
        <v>45474000000</v>
      </c>
      <c r="J228" s="11"/>
      <c r="K228" s="11"/>
      <c r="L228" s="11">
        <v>103657137660.89</v>
      </c>
      <c r="M228" s="11"/>
      <c r="N228" s="11">
        <v>2.0699999999999998</v>
      </c>
      <c r="O228" s="11">
        <v>915038823</v>
      </c>
      <c r="P228" s="12">
        <f t="shared" si="36"/>
        <v>0.24050713153724249</v>
      </c>
      <c r="Q228" s="12">
        <f t="shared" si="37"/>
        <v>4.1716145489730398E-2</v>
      </c>
      <c r="R228" s="12">
        <f t="shared" si="38"/>
        <v>0.41122913505311076</v>
      </c>
      <c r="S228" s="12">
        <f t="shared" si="39"/>
        <v>0</v>
      </c>
      <c r="T228" s="12">
        <f t="shared" si="40"/>
        <v>0</v>
      </c>
      <c r="U228" s="13" t="str">
        <f t="shared" si="41"/>
        <v/>
      </c>
      <c r="V228" s="13" t="str">
        <f t="shared" si="42"/>
        <v/>
      </c>
      <c r="W228" s="12">
        <f t="shared" si="43"/>
        <v>0.38415213946117271</v>
      </c>
      <c r="X228" s="12">
        <f t="shared" si="44"/>
        <v>0</v>
      </c>
      <c r="Y228" s="13">
        <f t="shared" si="45"/>
        <v>2.073136081571481</v>
      </c>
      <c r="Z228" s="13">
        <f t="shared" si="46"/>
        <v>54.64266613647338</v>
      </c>
      <c r="AA228" s="13">
        <f t="shared" si="47"/>
        <v>916425120.77294695</v>
      </c>
    </row>
    <row r="229" spans="1:27" x14ac:dyDescent="0.25">
      <c r="A229" s="10" t="s">
        <v>288</v>
      </c>
      <c r="B229" s="11">
        <v>1556000000</v>
      </c>
      <c r="C229" s="11">
        <v>38794000000</v>
      </c>
      <c r="D229" s="11"/>
      <c r="E229" s="11">
        <v>1456000000</v>
      </c>
      <c r="F229" s="11">
        <v>4769000000</v>
      </c>
      <c r="G229" s="11">
        <v>3989000000</v>
      </c>
      <c r="H229" s="11">
        <v>24579500000</v>
      </c>
      <c r="I229" s="11">
        <v>79512000000</v>
      </c>
      <c r="J229" s="11">
        <v>21748000000</v>
      </c>
      <c r="K229" s="11"/>
      <c r="L229" s="11">
        <v>65031635724.540001</v>
      </c>
      <c r="M229" s="11">
        <v>721000000</v>
      </c>
      <c r="N229" s="11">
        <v>1.1499999999999999</v>
      </c>
      <c r="O229" s="11">
        <v>1356000000</v>
      </c>
      <c r="P229" s="12">
        <f t="shared" si="36"/>
        <v>6.3304786509082778E-2</v>
      </c>
      <c r="Q229" s="12">
        <f t="shared" si="37"/>
        <v>1.9569373176375894E-2</v>
      </c>
      <c r="R229" s="12">
        <f t="shared" si="38"/>
        <v>4.010929525184307E-2</v>
      </c>
      <c r="S229" s="12">
        <f t="shared" si="39"/>
        <v>3.753157704799711E-2</v>
      </c>
      <c r="T229" s="12">
        <f t="shared" si="40"/>
        <v>0</v>
      </c>
      <c r="U229" s="13">
        <f t="shared" si="41"/>
        <v>4.5602851750891169</v>
      </c>
      <c r="V229" s="13">
        <f t="shared" si="42"/>
        <v>18.196610552430279</v>
      </c>
      <c r="W229" s="12">
        <f t="shared" si="43"/>
        <v>8.6104365657546811E-2</v>
      </c>
      <c r="X229" s="12">
        <f t="shared" si="44"/>
        <v>0.46336760925449871</v>
      </c>
      <c r="Y229" s="13">
        <f t="shared" si="45"/>
        <v>1.1474926253687316</v>
      </c>
      <c r="Z229" s="13">
        <f t="shared" si="46"/>
        <v>41.794110362814912</v>
      </c>
      <c r="AA229" s="13">
        <f t="shared" si="47"/>
        <v>1353043478.2608697</v>
      </c>
    </row>
    <row r="230" spans="1:27" x14ac:dyDescent="0.25">
      <c r="A230" s="10" t="s">
        <v>289</v>
      </c>
      <c r="B230" s="11">
        <v>2553000000</v>
      </c>
      <c r="C230" s="11">
        <v>57417000000</v>
      </c>
      <c r="D230" s="11">
        <v>11664000000</v>
      </c>
      <c r="E230" s="11">
        <v>3046000000</v>
      </c>
      <c r="F230" s="11">
        <v>4038000000</v>
      </c>
      <c r="G230" s="11">
        <v>3779000000</v>
      </c>
      <c r="H230" s="11">
        <v>-710000000</v>
      </c>
      <c r="I230" s="11">
        <v>42936000000</v>
      </c>
      <c r="J230" s="11">
        <v>9723000000</v>
      </c>
      <c r="K230" s="11"/>
      <c r="L230" s="11">
        <v>22067431742.200001</v>
      </c>
      <c r="M230" s="11">
        <v>1093000000</v>
      </c>
      <c r="N230" s="11">
        <v>2.75</v>
      </c>
      <c r="O230" s="11">
        <v>928000000</v>
      </c>
      <c r="P230" s="12">
        <f t="shared" si="36"/>
        <v>-3.5957746478873238</v>
      </c>
      <c r="Q230" s="12">
        <f t="shared" si="37"/>
        <v>5.9460592509782001E-2</v>
      </c>
      <c r="R230" s="12">
        <f t="shared" si="38"/>
        <v>4.4464183081665706E-2</v>
      </c>
      <c r="S230" s="12">
        <f t="shared" si="39"/>
        <v>5.3050490272915689E-2</v>
      </c>
      <c r="T230" s="12">
        <f t="shared" si="40"/>
        <v>0.20314540989602384</v>
      </c>
      <c r="U230" s="13">
        <f t="shared" si="41"/>
        <v>2.4078751857355125</v>
      </c>
      <c r="V230" s="13">
        <f t="shared" si="42"/>
        <v>7.8728161818226843</v>
      </c>
      <c r="W230" s="12">
        <f t="shared" si="43"/>
        <v>0.41928325751692003</v>
      </c>
      <c r="X230" s="12">
        <f t="shared" si="44"/>
        <v>0.42812377594986289</v>
      </c>
      <c r="Y230" s="13">
        <f t="shared" si="45"/>
        <v>2.7510775862068964</v>
      </c>
      <c r="Z230" s="13">
        <f t="shared" si="46"/>
        <v>8.6437257117900508</v>
      </c>
      <c r="AA230" s="13">
        <f t="shared" si="47"/>
        <v>928363636.36363637</v>
      </c>
    </row>
    <row r="231" spans="1:27" x14ac:dyDescent="0.25">
      <c r="A231" s="10" t="s">
        <v>290</v>
      </c>
      <c r="B231" s="11">
        <v>466879000</v>
      </c>
      <c r="C231" s="11"/>
      <c r="D231" s="11"/>
      <c r="E231" s="11"/>
      <c r="F231" s="11">
        <v>972717000</v>
      </c>
      <c r="G231" s="11">
        <v>692939000</v>
      </c>
      <c r="H231" s="11">
        <v>7990828500</v>
      </c>
      <c r="I231" s="11">
        <v>13344286000</v>
      </c>
      <c r="J231" s="11">
        <v>2351004000</v>
      </c>
      <c r="K231" s="11"/>
      <c r="L231" s="11">
        <v>13389162910.48</v>
      </c>
      <c r="M231" s="11">
        <v>639404000</v>
      </c>
      <c r="N231" s="11">
        <v>0.85</v>
      </c>
      <c r="O231" s="11">
        <v>550810000</v>
      </c>
      <c r="P231" s="12">
        <f t="shared" si="36"/>
        <v>5.8426857740721129E-2</v>
      </c>
      <c r="Q231" s="12">
        <f t="shared" si="37"/>
        <v>3.4987184777064882E-2</v>
      </c>
      <c r="R231" s="12" t="str">
        <f t="shared" si="38"/>
        <v/>
      </c>
      <c r="S231" s="12" t="str">
        <f t="shared" si="39"/>
        <v/>
      </c>
      <c r="T231" s="12" t="str">
        <f t="shared" si="40"/>
        <v/>
      </c>
      <c r="U231" s="13">
        <f t="shared" si="41"/>
        <v>2.4169455247518035</v>
      </c>
      <c r="V231" s="13">
        <f t="shared" si="42"/>
        <v>16.181650891759883</v>
      </c>
      <c r="W231" s="12">
        <f t="shared" si="43"/>
        <v>6.7003502522401129E-2</v>
      </c>
      <c r="X231" s="12">
        <f t="shared" si="44"/>
        <v>1.3695282931980235</v>
      </c>
      <c r="Y231" s="13">
        <f t="shared" si="45"/>
        <v>0.8476225921824222</v>
      </c>
      <c r="Z231" s="13">
        <f t="shared" si="46"/>
        <v>28.678014882828311</v>
      </c>
      <c r="AA231" s="13">
        <f t="shared" si="47"/>
        <v>549269411.7647059</v>
      </c>
    </row>
    <row r="232" spans="1:27" x14ac:dyDescent="0.25">
      <c r="A232" s="10" t="s">
        <v>291</v>
      </c>
      <c r="B232" s="11">
        <v>395000000</v>
      </c>
      <c r="C232" s="11">
        <v>13384000000</v>
      </c>
      <c r="D232" s="11">
        <v>4175000000</v>
      </c>
      <c r="E232" s="11">
        <v>660000000</v>
      </c>
      <c r="F232" s="11">
        <v>979000000</v>
      </c>
      <c r="G232" s="11">
        <v>445000000</v>
      </c>
      <c r="H232" s="11">
        <v>3288000000</v>
      </c>
      <c r="I232" s="11">
        <v>11304000000</v>
      </c>
      <c r="J232" s="11">
        <v>1046000000</v>
      </c>
      <c r="K232" s="11"/>
      <c r="L232" s="11">
        <v>9553059311.5499992</v>
      </c>
      <c r="M232" s="11"/>
      <c r="N232" s="11">
        <v>3.4</v>
      </c>
      <c r="O232" s="11">
        <v>116061244</v>
      </c>
      <c r="P232" s="12">
        <f t="shared" si="36"/>
        <v>0.12013381995133821</v>
      </c>
      <c r="Q232" s="12">
        <f t="shared" si="37"/>
        <v>3.4943382873319176E-2</v>
      </c>
      <c r="R232" s="12">
        <f t="shared" si="38"/>
        <v>2.9512851165570831E-2</v>
      </c>
      <c r="S232" s="12">
        <f t="shared" si="39"/>
        <v>4.9312612074118349E-2</v>
      </c>
      <c r="T232" s="12">
        <f t="shared" si="40"/>
        <v>0.31193962940824865</v>
      </c>
      <c r="U232" s="13">
        <f t="shared" si="41"/>
        <v>1.0684371807967314</v>
      </c>
      <c r="V232" s="13">
        <f t="shared" si="42"/>
        <v>10.826414005669049</v>
      </c>
      <c r="W232" s="12">
        <f t="shared" si="43"/>
        <v>0.10267651130595293</v>
      </c>
      <c r="X232" s="12">
        <f t="shared" si="44"/>
        <v>0</v>
      </c>
      <c r="Y232" s="13">
        <f t="shared" si="45"/>
        <v>3.4033755488610824</v>
      </c>
      <c r="Z232" s="13">
        <f t="shared" si="46"/>
        <v>24.184960282405061</v>
      </c>
      <c r="AA232" s="13">
        <f t="shared" si="47"/>
        <v>116176470.5882353</v>
      </c>
    </row>
    <row r="233" spans="1:27" x14ac:dyDescent="0.25">
      <c r="A233" s="10" t="s">
        <v>292</v>
      </c>
      <c r="B233" s="11">
        <v>1011000000</v>
      </c>
      <c r="C233" s="11">
        <v>6165000000</v>
      </c>
      <c r="D233" s="11"/>
      <c r="E233" s="11">
        <v>889000000</v>
      </c>
      <c r="F233" s="11">
        <v>1678000000</v>
      </c>
      <c r="G233" s="11"/>
      <c r="H233" s="11">
        <v>6738500000</v>
      </c>
      <c r="I233" s="11">
        <v>13154000000</v>
      </c>
      <c r="J233" s="11">
        <v>1274000000</v>
      </c>
      <c r="K233" s="11"/>
      <c r="L233" s="11">
        <v>15861804043.459999</v>
      </c>
      <c r="M233" s="11">
        <v>654000000</v>
      </c>
      <c r="N233" s="11">
        <v>1.47</v>
      </c>
      <c r="O233" s="11">
        <v>689300000</v>
      </c>
      <c r="P233" s="12">
        <f t="shared" si="36"/>
        <v>0.15003339022037546</v>
      </c>
      <c r="Q233" s="12">
        <f t="shared" si="37"/>
        <v>7.6858750190056252E-2</v>
      </c>
      <c r="R233" s="12">
        <f t="shared" si="38"/>
        <v>0.16399026763990268</v>
      </c>
      <c r="S233" s="12">
        <f t="shared" si="39"/>
        <v>0.14420113544201135</v>
      </c>
      <c r="T233" s="12">
        <f t="shared" si="40"/>
        <v>0</v>
      </c>
      <c r="U233" s="13">
        <f t="shared" si="41"/>
        <v>0.75923718712753274</v>
      </c>
      <c r="V233" s="13">
        <f t="shared" si="42"/>
        <v>10.212040550333731</v>
      </c>
      <c r="W233" s="12">
        <f t="shared" si="43"/>
        <v>0</v>
      </c>
      <c r="X233" s="12">
        <f t="shared" si="44"/>
        <v>0.64688427299703266</v>
      </c>
      <c r="Y233" s="13">
        <f t="shared" si="45"/>
        <v>1.4667053532569274</v>
      </c>
      <c r="Z233" s="13">
        <f t="shared" si="46"/>
        <v>15.689222594915924</v>
      </c>
      <c r="AA233" s="13">
        <f t="shared" si="47"/>
        <v>687755102.04081631</v>
      </c>
    </row>
    <row r="234" spans="1:27" x14ac:dyDescent="0.25">
      <c r="A234" s="10" t="s">
        <v>293</v>
      </c>
      <c r="B234" s="11">
        <v>1094161000</v>
      </c>
      <c r="C234" s="11">
        <v>8149719000</v>
      </c>
      <c r="D234" s="11">
        <v>4201155000</v>
      </c>
      <c r="E234" s="11">
        <v>1713000000</v>
      </c>
      <c r="F234" s="11">
        <v>2230139000</v>
      </c>
      <c r="G234" s="11">
        <v>1925798000</v>
      </c>
      <c r="H234" s="11">
        <v>4675702000</v>
      </c>
      <c r="I234" s="11">
        <v>13841293000</v>
      </c>
      <c r="J234" s="11">
        <v>5188444000</v>
      </c>
      <c r="K234" s="11"/>
      <c r="L234" s="11">
        <v>34818063565.739998</v>
      </c>
      <c r="M234" s="11">
        <v>1101699000</v>
      </c>
      <c r="N234" s="11"/>
      <c r="O234" s="11"/>
      <c r="P234" s="12">
        <f t="shared" si="36"/>
        <v>0.23400999464893185</v>
      </c>
      <c r="Q234" s="12">
        <f t="shared" si="37"/>
        <v>7.9050490441897298E-2</v>
      </c>
      <c r="R234" s="12">
        <f t="shared" si="38"/>
        <v>0.13425751243693188</v>
      </c>
      <c r="S234" s="12">
        <f t="shared" si="39"/>
        <v>0.21019129616616231</v>
      </c>
      <c r="T234" s="12">
        <f t="shared" si="40"/>
        <v>0.5154969146788988</v>
      </c>
      <c r="U234" s="13">
        <f t="shared" si="41"/>
        <v>2.3265114865037559</v>
      </c>
      <c r="V234" s="13">
        <f t="shared" si="42"/>
        <v>17.939019749773443</v>
      </c>
      <c r="W234" s="12">
        <f t="shared" si="43"/>
        <v>0.1952321062563348</v>
      </c>
      <c r="X234" s="12">
        <f t="shared" si="44"/>
        <v>1.0068892969133427</v>
      </c>
      <c r="Y234" s="13" t="str">
        <f t="shared" si="45"/>
        <v/>
      </c>
      <c r="Z234" s="13">
        <f t="shared" si="46"/>
        <v>31.821700431417312</v>
      </c>
      <c r="AA234" s="13" t="str">
        <f t="shared" si="47"/>
        <v/>
      </c>
    </row>
    <row r="235" spans="1:27" x14ac:dyDescent="0.25">
      <c r="A235" s="10" t="s">
        <v>294</v>
      </c>
      <c r="B235" s="11">
        <v>899200000</v>
      </c>
      <c r="C235" s="11">
        <v>5996100000</v>
      </c>
      <c r="D235" s="11">
        <v>2118200000</v>
      </c>
      <c r="E235" s="11">
        <v>1233600000</v>
      </c>
      <c r="F235" s="11">
        <v>1453200000</v>
      </c>
      <c r="G235" s="11">
        <v>909300000</v>
      </c>
      <c r="H235" s="11">
        <v>3515000000</v>
      </c>
      <c r="I235" s="11">
        <v>8417700000</v>
      </c>
      <c r="J235" s="11">
        <v>1444500000</v>
      </c>
      <c r="K235" s="11"/>
      <c r="L235" s="11">
        <v>25649927167.080002</v>
      </c>
      <c r="M235" s="11">
        <v>213000000</v>
      </c>
      <c r="N235" s="11">
        <v>16.87</v>
      </c>
      <c r="O235" s="11">
        <v>53300000</v>
      </c>
      <c r="P235" s="12">
        <f t="shared" si="36"/>
        <v>0.25581792318634422</v>
      </c>
      <c r="Q235" s="12">
        <f t="shared" si="37"/>
        <v>0.10682252871924636</v>
      </c>
      <c r="R235" s="12">
        <f t="shared" si="38"/>
        <v>0.14996414335985056</v>
      </c>
      <c r="S235" s="12">
        <f t="shared" si="39"/>
        <v>0.20573372692249964</v>
      </c>
      <c r="T235" s="12">
        <f t="shared" si="40"/>
        <v>0.35326295425359816</v>
      </c>
      <c r="U235" s="13">
        <f t="shared" si="41"/>
        <v>0.99401321222130468</v>
      </c>
      <c r="V235" s="13">
        <f t="shared" si="42"/>
        <v>18.644664992485552</v>
      </c>
      <c r="W235" s="12">
        <f t="shared" si="43"/>
        <v>0.18334509527170079</v>
      </c>
      <c r="X235" s="12">
        <f t="shared" si="44"/>
        <v>0.23687722419928825</v>
      </c>
      <c r="Y235" s="13">
        <f t="shared" si="45"/>
        <v>16.870544090056285</v>
      </c>
      <c r="Z235" s="13">
        <f t="shared" si="46"/>
        <v>28.525274874421712</v>
      </c>
      <c r="AA235" s="13">
        <f t="shared" si="47"/>
        <v>53301719.027860105</v>
      </c>
    </row>
    <row r="236" spans="1:27" x14ac:dyDescent="0.25">
      <c r="A236" s="10" t="s">
        <v>295</v>
      </c>
      <c r="B236" s="11">
        <v>1130000000</v>
      </c>
      <c r="C236" s="11">
        <v>137200000000</v>
      </c>
      <c r="D236" s="11"/>
      <c r="E236" s="11">
        <v>2444000000</v>
      </c>
      <c r="F236" s="11">
        <v>3122000000</v>
      </c>
      <c r="G236" s="11">
        <v>1272000000</v>
      </c>
      <c r="H236" s="11">
        <v>18165500000</v>
      </c>
      <c r="I236" s="11">
        <v>55280000000</v>
      </c>
      <c r="J236" s="11">
        <v>12274000000</v>
      </c>
      <c r="K236" s="11"/>
      <c r="L236" s="11">
        <v>47755663412.480003</v>
      </c>
      <c r="M236" s="11">
        <v>98000000</v>
      </c>
      <c r="N236" s="11">
        <v>9.3699999999999992</v>
      </c>
      <c r="O236" s="11">
        <v>120652000</v>
      </c>
      <c r="P236" s="12">
        <f t="shared" si="36"/>
        <v>6.2205829732184637E-2</v>
      </c>
      <c r="Q236" s="12">
        <f t="shared" si="37"/>
        <v>2.0441389290882777E-2</v>
      </c>
      <c r="R236" s="12">
        <f t="shared" si="38"/>
        <v>8.2361516034985417E-3</v>
      </c>
      <c r="S236" s="12">
        <f t="shared" si="39"/>
        <v>1.7813411078717201E-2</v>
      </c>
      <c r="T236" s="12">
        <f t="shared" si="40"/>
        <v>0</v>
      </c>
      <c r="U236" s="13">
        <f t="shared" si="41"/>
        <v>3.931454196028187</v>
      </c>
      <c r="V236" s="13">
        <f t="shared" si="42"/>
        <v>19.227951125073673</v>
      </c>
      <c r="W236" s="12">
        <f t="shared" si="43"/>
        <v>4.1787808603952099E-2</v>
      </c>
      <c r="X236" s="12">
        <f t="shared" si="44"/>
        <v>8.6725663716814158E-2</v>
      </c>
      <c r="Y236" s="13">
        <f t="shared" si="45"/>
        <v>9.3657792659881309</v>
      </c>
      <c r="Z236" s="13">
        <f t="shared" si="46"/>
        <v>42.261649037592925</v>
      </c>
      <c r="AA236" s="13">
        <f t="shared" si="47"/>
        <v>120597652.08110994</v>
      </c>
    </row>
    <row r="237" spans="1:27" x14ac:dyDescent="0.25">
      <c r="A237" s="10" t="s">
        <v>296</v>
      </c>
      <c r="B237" s="11">
        <v>1744000000</v>
      </c>
      <c r="C237" s="11">
        <v>8623000000</v>
      </c>
      <c r="D237" s="11"/>
      <c r="E237" s="11">
        <v>2305000000</v>
      </c>
      <c r="F237" s="11">
        <v>2593000000</v>
      </c>
      <c r="G237" s="11">
        <v>1656000000</v>
      </c>
      <c r="H237" s="11">
        <v>5157000000</v>
      </c>
      <c r="I237" s="11">
        <v>13067000000</v>
      </c>
      <c r="J237" s="11">
        <v>3050000000</v>
      </c>
      <c r="K237" s="11"/>
      <c r="L237" s="11">
        <v>109537421225.2</v>
      </c>
      <c r="M237" s="11"/>
      <c r="N237" s="11">
        <v>4.33</v>
      </c>
      <c r="O237" s="11">
        <v>403000000</v>
      </c>
      <c r="P237" s="12">
        <f t="shared" si="36"/>
        <v>0.33818111305022303</v>
      </c>
      <c r="Q237" s="12">
        <f t="shared" si="37"/>
        <v>0.13346598301063747</v>
      </c>
      <c r="R237" s="12">
        <f t="shared" si="38"/>
        <v>0.20224979705438942</v>
      </c>
      <c r="S237" s="12">
        <f t="shared" si="39"/>
        <v>0.26730836135915576</v>
      </c>
      <c r="T237" s="12">
        <f t="shared" si="40"/>
        <v>0</v>
      </c>
      <c r="U237" s="13">
        <f t="shared" si="41"/>
        <v>1.1762437331276514</v>
      </c>
      <c r="V237" s="13">
        <f t="shared" si="42"/>
        <v>43.419753654145779</v>
      </c>
      <c r="W237" s="12">
        <f t="shared" si="43"/>
        <v>0.20177896917265747</v>
      </c>
      <c r="X237" s="12">
        <f t="shared" si="44"/>
        <v>0</v>
      </c>
      <c r="Y237" s="13">
        <f t="shared" si="45"/>
        <v>4.3275434243176178</v>
      </c>
      <c r="Z237" s="13">
        <f t="shared" si="46"/>
        <v>62.808154372247706</v>
      </c>
      <c r="AA237" s="13">
        <f t="shared" si="47"/>
        <v>402771362.58660507</v>
      </c>
    </row>
    <row r="238" spans="1:27" x14ac:dyDescent="0.25">
      <c r="A238" s="10" t="s">
        <v>297</v>
      </c>
      <c r="B238" s="11">
        <v>4564000000</v>
      </c>
      <c r="C238" s="11">
        <v>2547000000</v>
      </c>
      <c r="D238" s="11"/>
      <c r="E238" s="11"/>
      <c r="F238" s="11"/>
      <c r="G238" s="11"/>
      <c r="H238" s="11">
        <v>5043500000</v>
      </c>
      <c r="I238" s="11">
        <v>218749000000</v>
      </c>
      <c r="J238" s="11"/>
      <c r="K238" s="11"/>
      <c r="L238" s="11">
        <v>42445787770.120003</v>
      </c>
      <c r="M238" s="11">
        <v>143000000</v>
      </c>
      <c r="N238" s="11">
        <v>10.18</v>
      </c>
      <c r="O238" s="11">
        <v>448369291</v>
      </c>
      <c r="P238" s="12">
        <f t="shared" si="36"/>
        <v>0.90492713393476754</v>
      </c>
      <c r="Q238" s="12">
        <f t="shared" si="37"/>
        <v>2.086409537872173E-2</v>
      </c>
      <c r="R238" s="12">
        <f t="shared" si="38"/>
        <v>1.7919120533961523</v>
      </c>
      <c r="S238" s="12">
        <f t="shared" si="39"/>
        <v>0</v>
      </c>
      <c r="T238" s="12">
        <f t="shared" si="40"/>
        <v>0</v>
      </c>
      <c r="U238" s="13" t="str">
        <f t="shared" si="41"/>
        <v/>
      </c>
      <c r="V238" s="13" t="str">
        <f t="shared" si="42"/>
        <v/>
      </c>
      <c r="W238" s="12">
        <f t="shared" si="43"/>
        <v>0</v>
      </c>
      <c r="X238" s="12">
        <f t="shared" si="44"/>
        <v>3.133216476774759E-2</v>
      </c>
      <c r="Y238" s="13">
        <f t="shared" si="45"/>
        <v>10.179109255722867</v>
      </c>
      <c r="Z238" s="13">
        <f t="shared" si="46"/>
        <v>9.3001287839877307</v>
      </c>
      <c r="AA238" s="13">
        <f t="shared" si="47"/>
        <v>448330058.93909627</v>
      </c>
    </row>
    <row r="239" spans="1:27" x14ac:dyDescent="0.25">
      <c r="A239" s="10" t="s">
        <v>298</v>
      </c>
      <c r="B239" s="11">
        <v>10754000000</v>
      </c>
      <c r="C239" s="11">
        <v>68911000000</v>
      </c>
      <c r="D239" s="11">
        <v>40216000000</v>
      </c>
      <c r="E239" s="11"/>
      <c r="F239" s="11"/>
      <c r="G239" s="11">
        <v>12913000000</v>
      </c>
      <c r="H239" s="11">
        <v>29927000000</v>
      </c>
      <c r="I239" s="11">
        <v>156229000000</v>
      </c>
      <c r="J239" s="11">
        <v>57706000000</v>
      </c>
      <c r="K239" s="11"/>
      <c r="L239" s="11">
        <v>277548111710.78998</v>
      </c>
      <c r="M239" s="11">
        <v>6282000000</v>
      </c>
      <c r="N239" s="11">
        <v>11.29</v>
      </c>
      <c r="O239" s="11">
        <v>952131057</v>
      </c>
      <c r="P239" s="12">
        <f t="shared" si="36"/>
        <v>0.35934106325391785</v>
      </c>
      <c r="Q239" s="12">
        <f t="shared" si="37"/>
        <v>6.8834851404028702E-2</v>
      </c>
      <c r="R239" s="12">
        <f t="shared" si="38"/>
        <v>0.1560563625545994</v>
      </c>
      <c r="S239" s="12">
        <f t="shared" si="39"/>
        <v>0</v>
      </c>
      <c r="T239" s="12">
        <f t="shared" si="40"/>
        <v>0.58359333052778217</v>
      </c>
      <c r="U239" s="13" t="str">
        <f t="shared" si="41"/>
        <v/>
      </c>
      <c r="V239" s="13" t="str">
        <f t="shared" si="42"/>
        <v/>
      </c>
      <c r="W239" s="12">
        <f t="shared" si="43"/>
        <v>0.14735316604475482</v>
      </c>
      <c r="X239" s="12">
        <f t="shared" si="44"/>
        <v>0.58415473312255906</v>
      </c>
      <c r="Y239" s="13">
        <f t="shared" si="45"/>
        <v>11.294663608478428</v>
      </c>
      <c r="Z239" s="13">
        <f t="shared" si="46"/>
        <v>25.808825712366559</v>
      </c>
      <c r="AA239" s="13">
        <f t="shared" si="47"/>
        <v>952524357.83879542</v>
      </c>
    </row>
    <row r="240" spans="1:27" x14ac:dyDescent="0.25">
      <c r="A240" s="10" t="s">
        <v>299</v>
      </c>
      <c r="B240" s="11">
        <v>3931000000</v>
      </c>
      <c r="C240" s="11">
        <v>13077000000</v>
      </c>
      <c r="D240" s="11"/>
      <c r="E240" s="11">
        <v>5373000000</v>
      </c>
      <c r="F240" s="11">
        <v>6928000000</v>
      </c>
      <c r="G240" s="11">
        <v>4670000000</v>
      </c>
      <c r="H240" s="11">
        <v>28726000000</v>
      </c>
      <c r="I240" s="11">
        <v>179177000000</v>
      </c>
      <c r="J240" s="11">
        <v>18122000000</v>
      </c>
      <c r="K240" s="11"/>
      <c r="L240" s="11">
        <v>76406393544.610001</v>
      </c>
      <c r="M240" s="11">
        <v>1124000000</v>
      </c>
      <c r="N240" s="11">
        <v>6.9</v>
      </c>
      <c r="O240" s="11">
        <v>570000000</v>
      </c>
      <c r="P240" s="12">
        <f t="shared" si="36"/>
        <v>0.13684467033349579</v>
      </c>
      <c r="Q240" s="12">
        <f t="shared" si="37"/>
        <v>2.1939199785686779E-2</v>
      </c>
      <c r="R240" s="12">
        <f t="shared" si="38"/>
        <v>0.30060411409344651</v>
      </c>
      <c r="S240" s="12">
        <f t="shared" si="39"/>
        <v>0.41087405368203717</v>
      </c>
      <c r="T240" s="12">
        <f t="shared" si="40"/>
        <v>0</v>
      </c>
      <c r="U240" s="13">
        <f t="shared" si="41"/>
        <v>2.6157621247113165</v>
      </c>
      <c r="V240" s="13">
        <f t="shared" si="42"/>
        <v>13.644398606323614</v>
      </c>
      <c r="W240" s="12">
        <f t="shared" si="43"/>
        <v>9.9684084699453557E-2</v>
      </c>
      <c r="X240" s="12">
        <f t="shared" si="44"/>
        <v>0.28593233273976087</v>
      </c>
      <c r="Y240" s="13">
        <f t="shared" si="45"/>
        <v>6.8964912280701753</v>
      </c>
      <c r="Z240" s="13">
        <f t="shared" si="46"/>
        <v>19.436884646301195</v>
      </c>
      <c r="AA240" s="13">
        <f t="shared" si="47"/>
        <v>569710144.92753625</v>
      </c>
    </row>
    <row r="241" spans="1:27" x14ac:dyDescent="0.25">
      <c r="A241" s="10" t="s">
        <v>300</v>
      </c>
      <c r="B241" s="11">
        <v>1095233000</v>
      </c>
      <c r="C241" s="11">
        <v>4446095000</v>
      </c>
      <c r="D241" s="11">
        <v>2758939000</v>
      </c>
      <c r="E241" s="11">
        <v>1406083000</v>
      </c>
      <c r="F241" s="11">
        <v>1554886000</v>
      </c>
      <c r="G241" s="11">
        <v>1083457000</v>
      </c>
      <c r="H241" s="11">
        <v>1502058000</v>
      </c>
      <c r="I241" s="11">
        <v>3385497000</v>
      </c>
      <c r="J241" s="11">
        <v>450000000</v>
      </c>
      <c r="K241" s="11"/>
      <c r="L241" s="11">
        <v>44064040198.349998</v>
      </c>
      <c r="M241" s="11"/>
      <c r="N241" s="11">
        <v>13.66</v>
      </c>
      <c r="O241" s="11">
        <v>80162000</v>
      </c>
      <c r="P241" s="12">
        <f t="shared" si="36"/>
        <v>0.72915493276557897</v>
      </c>
      <c r="Q241" s="12">
        <f t="shared" si="37"/>
        <v>0.32350730188211657</v>
      </c>
      <c r="R241" s="12">
        <f t="shared" si="38"/>
        <v>0.24633594198954364</v>
      </c>
      <c r="S241" s="12">
        <f t="shared" si="39"/>
        <v>0.31625122720049842</v>
      </c>
      <c r="T241" s="12">
        <f t="shared" si="40"/>
        <v>0.62053082536473014</v>
      </c>
      <c r="U241" s="13">
        <f t="shared" si="41"/>
        <v>0.28941028474113217</v>
      </c>
      <c r="V241" s="13">
        <f t="shared" si="42"/>
        <v>28.628491219517056</v>
      </c>
      <c r="W241" s="12">
        <f t="shared" si="43"/>
        <v>0.55503320085776142</v>
      </c>
      <c r="X241" s="12">
        <f t="shared" si="44"/>
        <v>0</v>
      </c>
      <c r="Y241" s="13">
        <f t="shared" si="45"/>
        <v>13.662745440483022</v>
      </c>
      <c r="Z241" s="13">
        <f t="shared" si="46"/>
        <v>40.232571697848769</v>
      </c>
      <c r="AA241" s="13">
        <f t="shared" si="47"/>
        <v>80178111.273792088</v>
      </c>
    </row>
    <row r="242" spans="1:27" x14ac:dyDescent="0.25">
      <c r="A242" s="10" t="s">
        <v>301</v>
      </c>
      <c r="B242" s="11">
        <v>507700000</v>
      </c>
      <c r="C242" s="11">
        <v>3530100000</v>
      </c>
      <c r="D242" s="11">
        <v>1568000000</v>
      </c>
      <c r="E242" s="11">
        <v>729700000</v>
      </c>
      <c r="F242" s="11">
        <v>964800000</v>
      </c>
      <c r="G242" s="11">
        <v>611400000</v>
      </c>
      <c r="H242" s="11">
        <v>3978200000</v>
      </c>
      <c r="I242" s="11">
        <v>6918600000</v>
      </c>
      <c r="J242" s="11">
        <v>1880800000</v>
      </c>
      <c r="K242" s="11"/>
      <c r="L242" s="11">
        <v>16264067933.059999</v>
      </c>
      <c r="M242" s="11">
        <v>213000000</v>
      </c>
      <c r="N242" s="11">
        <v>6.82</v>
      </c>
      <c r="O242" s="11">
        <v>74400000</v>
      </c>
      <c r="P242" s="12">
        <f t="shared" si="36"/>
        <v>0.12762053189884873</v>
      </c>
      <c r="Q242" s="12">
        <f t="shared" si="37"/>
        <v>7.3381898071864252E-2</v>
      </c>
      <c r="R242" s="12">
        <f t="shared" si="38"/>
        <v>0.14382028837709979</v>
      </c>
      <c r="S242" s="12">
        <f t="shared" si="39"/>
        <v>0.20670802526840598</v>
      </c>
      <c r="T242" s="12">
        <f t="shared" si="40"/>
        <v>0.44418005155661311</v>
      </c>
      <c r="U242" s="13">
        <f t="shared" si="41"/>
        <v>1.949419568822554</v>
      </c>
      <c r="V242" s="13">
        <f t="shared" si="42"/>
        <v>18.806869748196515</v>
      </c>
      <c r="W242" s="12">
        <f t="shared" si="43"/>
        <v>0.10435227854582693</v>
      </c>
      <c r="X242" s="12">
        <f t="shared" si="44"/>
        <v>0.41953909789245619</v>
      </c>
      <c r="Y242" s="13">
        <f t="shared" si="45"/>
        <v>6.823924731182796</v>
      </c>
      <c r="Z242" s="13">
        <f t="shared" si="46"/>
        <v>32.03479994693717</v>
      </c>
      <c r="AA242" s="13">
        <f t="shared" si="47"/>
        <v>74442815.249266863</v>
      </c>
    </row>
    <row r="243" spans="1:27" x14ac:dyDescent="0.25">
      <c r="A243" s="10" t="s">
        <v>302</v>
      </c>
      <c r="B243" s="11"/>
      <c r="C243" s="11">
        <v>10788000000</v>
      </c>
      <c r="D243" s="11">
        <v>3921000000</v>
      </c>
      <c r="E243" s="11">
        <v>794000000</v>
      </c>
      <c r="F243" s="11">
        <v>1766000000</v>
      </c>
      <c r="G243" s="11">
        <v>400000000</v>
      </c>
      <c r="H243" s="11">
        <v>13648500000</v>
      </c>
      <c r="I243" s="11">
        <v>25144000000</v>
      </c>
      <c r="J243" s="11">
        <v>5637000000</v>
      </c>
      <c r="K243" s="11"/>
      <c r="L243" s="11">
        <v>20048981423.040001</v>
      </c>
      <c r="M243" s="11"/>
      <c r="N243" s="11"/>
      <c r="O243" s="11"/>
      <c r="P243" s="12">
        <f t="shared" si="36"/>
        <v>0</v>
      </c>
      <c r="Q243" s="12">
        <f t="shared" si="37"/>
        <v>0</v>
      </c>
      <c r="R243" s="12">
        <f t="shared" si="38"/>
        <v>0</v>
      </c>
      <c r="S243" s="12">
        <f t="shared" si="39"/>
        <v>7.3600296625880607E-2</v>
      </c>
      <c r="T243" s="12">
        <f t="shared" si="40"/>
        <v>0.36345939933259175</v>
      </c>
      <c r="U243" s="13">
        <f t="shared" si="41"/>
        <v>3.1919592298980746</v>
      </c>
      <c r="V243" s="13">
        <f t="shared" si="42"/>
        <v>14.544723342604756</v>
      </c>
      <c r="W243" s="12">
        <f t="shared" si="43"/>
        <v>2.0740971195976253E-2</v>
      </c>
      <c r="X243" s="12" t="str">
        <f t="shared" si="44"/>
        <v/>
      </c>
      <c r="Y243" s="13" t="str">
        <f t="shared" si="45"/>
        <v/>
      </c>
      <c r="Z243" s="13" t="str">
        <f t="shared" si="46"/>
        <v/>
      </c>
      <c r="AA243" s="13" t="str">
        <f t="shared" si="47"/>
        <v/>
      </c>
    </row>
    <row r="244" spans="1:27" x14ac:dyDescent="0.25">
      <c r="A244" s="10" t="s">
        <v>303</v>
      </c>
      <c r="B244" s="11">
        <v>1431777000</v>
      </c>
      <c r="C244" s="11">
        <v>3394635000</v>
      </c>
      <c r="D244" s="11"/>
      <c r="E244" s="11">
        <v>1610808000</v>
      </c>
      <c r="F244" s="11">
        <v>1705534000</v>
      </c>
      <c r="G244" s="11"/>
      <c r="H244" s="11">
        <v>4645205000</v>
      </c>
      <c r="I244" s="11">
        <v>7339113000</v>
      </c>
      <c r="J244" s="11"/>
      <c r="K244" s="11"/>
      <c r="L244" s="11">
        <v>23678180339.939999</v>
      </c>
      <c r="M244" s="11"/>
      <c r="N244" s="11">
        <v>6.92</v>
      </c>
      <c r="O244" s="11">
        <v>206830000</v>
      </c>
      <c r="P244" s="12">
        <f t="shared" si="36"/>
        <v>0.30822687050410047</v>
      </c>
      <c r="Q244" s="12">
        <f t="shared" si="37"/>
        <v>0.19508856179214026</v>
      </c>
      <c r="R244" s="12">
        <f t="shared" si="38"/>
        <v>0.42177642073448252</v>
      </c>
      <c r="S244" s="12">
        <f t="shared" si="39"/>
        <v>0.47451581686985495</v>
      </c>
      <c r="T244" s="12">
        <f t="shared" si="40"/>
        <v>0</v>
      </c>
      <c r="U244" s="13">
        <f t="shared" si="41"/>
        <v>0</v>
      </c>
      <c r="V244" s="13">
        <f t="shared" si="42"/>
        <v>13.883147647563753</v>
      </c>
      <c r="W244" s="12">
        <f t="shared" si="43"/>
        <v>0</v>
      </c>
      <c r="X244" s="12">
        <f t="shared" si="44"/>
        <v>0</v>
      </c>
      <c r="Y244" s="13">
        <f t="shared" si="45"/>
        <v>6.9224822317845573</v>
      </c>
      <c r="Z244" s="13">
        <f t="shared" si="46"/>
        <v>16.537617478098895</v>
      </c>
      <c r="AA244" s="13">
        <f t="shared" si="47"/>
        <v>206904190.75144508</v>
      </c>
    </row>
    <row r="245" spans="1:27" x14ac:dyDescent="0.25">
      <c r="A245" s="10" t="s">
        <v>304</v>
      </c>
      <c r="B245" s="11">
        <v>-3174000000</v>
      </c>
      <c r="C245" s="11">
        <v>53763000000</v>
      </c>
      <c r="D245" s="11">
        <v>19050000000</v>
      </c>
      <c r="E245" s="11">
        <v>-5049000000</v>
      </c>
      <c r="F245" s="11">
        <v>6185000000</v>
      </c>
      <c r="G245" s="11">
        <v>-3119000000</v>
      </c>
      <c r="H245" s="11">
        <v>105575000000</v>
      </c>
      <c r="I245" s="11">
        <v>205332000000</v>
      </c>
      <c r="J245" s="11">
        <v>46585000000</v>
      </c>
      <c r="K245" s="11"/>
      <c r="L245" s="11">
        <v>565626044601.43994</v>
      </c>
      <c r="M245" s="11"/>
      <c r="N245" s="11">
        <v>-0.62</v>
      </c>
      <c r="O245" s="11">
        <v>5083000000</v>
      </c>
      <c r="P245" s="12">
        <f t="shared" si="36"/>
        <v>-3.0063935590812219E-2</v>
      </c>
      <c r="Q245" s="12">
        <f t="shared" si="37"/>
        <v>-1.5457892583718076E-2</v>
      </c>
      <c r="R245" s="12">
        <f t="shared" si="38"/>
        <v>-5.9036884102449637E-2</v>
      </c>
      <c r="S245" s="12">
        <f t="shared" si="39"/>
        <v>-9.391217007979466E-2</v>
      </c>
      <c r="T245" s="12">
        <f t="shared" si="40"/>
        <v>0.35433290552982533</v>
      </c>
      <c r="U245" s="13">
        <f t="shared" si="41"/>
        <v>7.5319320937752625</v>
      </c>
      <c r="V245" s="13">
        <f t="shared" si="42"/>
        <v>98.983192336530308</v>
      </c>
      <c r="W245" s="12">
        <f t="shared" si="43"/>
        <v>-2.0498159831756048E-2</v>
      </c>
      <c r="X245" s="12">
        <f t="shared" si="44"/>
        <v>0</v>
      </c>
      <c r="Y245" s="13">
        <f t="shared" si="45"/>
        <v>-0.6244343891402715</v>
      </c>
      <c r="Z245" s="13">
        <f t="shared" si="46"/>
        <v>-178.20606320146186</v>
      </c>
      <c r="AA245" s="13">
        <f t="shared" si="47"/>
        <v>5119354838.7096777</v>
      </c>
    </row>
    <row r="246" spans="1:27" x14ac:dyDescent="0.25">
      <c r="A246" s="10" t="s">
        <v>305</v>
      </c>
      <c r="B246" s="11">
        <v>4584000000</v>
      </c>
      <c r="C246" s="11">
        <v>20925000000</v>
      </c>
      <c r="D246" s="11"/>
      <c r="E246" s="11">
        <v>5748000000</v>
      </c>
      <c r="F246" s="11">
        <v>5924000000</v>
      </c>
      <c r="G246" s="11">
        <v>7755000000</v>
      </c>
      <c r="H246" s="11">
        <v>20377000000</v>
      </c>
      <c r="I246" s="11">
        <v>39330000000</v>
      </c>
      <c r="J246" s="11">
        <v>6162000000</v>
      </c>
      <c r="K246" s="11"/>
      <c r="L246" s="11">
        <v>74779546395.630005</v>
      </c>
      <c r="M246" s="11">
        <v>1316000000</v>
      </c>
      <c r="N246" s="11">
        <v>16.43</v>
      </c>
      <c r="O246" s="11">
        <v>279000000</v>
      </c>
      <c r="P246" s="12">
        <f t="shared" si="36"/>
        <v>0.22495951317662069</v>
      </c>
      <c r="Q246" s="12">
        <f t="shared" si="37"/>
        <v>0.11655225019069412</v>
      </c>
      <c r="R246" s="12">
        <f t="shared" si="38"/>
        <v>0.21906810035842295</v>
      </c>
      <c r="S246" s="12">
        <f t="shared" si="39"/>
        <v>0.27469534050179212</v>
      </c>
      <c r="T246" s="12">
        <f t="shared" si="40"/>
        <v>0</v>
      </c>
      <c r="U246" s="13">
        <f t="shared" si="41"/>
        <v>1.0401755570560431</v>
      </c>
      <c r="V246" s="13">
        <f t="shared" si="42"/>
        <v>13.663326535386563</v>
      </c>
      <c r="W246" s="12">
        <f t="shared" si="43"/>
        <v>0.29221146237612572</v>
      </c>
      <c r="X246" s="12">
        <f t="shared" si="44"/>
        <v>0.28708551483420591</v>
      </c>
      <c r="Y246" s="13">
        <f t="shared" si="45"/>
        <v>16.43010752688172</v>
      </c>
      <c r="Z246" s="13">
        <f t="shared" si="46"/>
        <v>16.313164571472512</v>
      </c>
      <c r="AA246" s="13">
        <f t="shared" si="47"/>
        <v>279001825.92818016</v>
      </c>
    </row>
    <row r="247" spans="1:27" x14ac:dyDescent="0.25">
      <c r="A247" s="10" t="s">
        <v>306</v>
      </c>
      <c r="B247" s="11">
        <v>582687000</v>
      </c>
      <c r="C247" s="11">
        <v>2788929000</v>
      </c>
      <c r="D247" s="11"/>
      <c r="E247" s="11"/>
      <c r="F247" s="11"/>
      <c r="G247" s="11"/>
      <c r="H247" s="11">
        <v>9404732500</v>
      </c>
      <c r="I247" s="11">
        <v>18701141000</v>
      </c>
      <c r="J247" s="11">
        <v>8802370000</v>
      </c>
      <c r="K247" s="11"/>
      <c r="L247" s="11">
        <v>17447012746.259998</v>
      </c>
      <c r="M247" s="11"/>
      <c r="N247" s="11">
        <v>0.96</v>
      </c>
      <c r="O247" s="11">
        <v>606233573</v>
      </c>
      <c r="P247" s="12">
        <f t="shared" si="36"/>
        <v>6.1956786118052797E-2</v>
      </c>
      <c r="Q247" s="12">
        <f t="shared" si="37"/>
        <v>3.1157831492741539E-2</v>
      </c>
      <c r="R247" s="12">
        <f t="shared" si="38"/>
        <v>0.20892858871631367</v>
      </c>
      <c r="S247" s="12">
        <f t="shared" si="39"/>
        <v>0</v>
      </c>
      <c r="T247" s="12">
        <f t="shared" si="40"/>
        <v>0</v>
      </c>
      <c r="U247" s="13" t="str">
        <f t="shared" si="41"/>
        <v/>
      </c>
      <c r="V247" s="13" t="str">
        <f t="shared" si="42"/>
        <v/>
      </c>
      <c r="W247" s="12">
        <f t="shared" si="43"/>
        <v>0</v>
      </c>
      <c r="X247" s="12">
        <f t="shared" si="44"/>
        <v>0</v>
      </c>
      <c r="Y247" s="13">
        <f t="shared" si="45"/>
        <v>0.96115923952631377</v>
      </c>
      <c r="Z247" s="13">
        <f t="shared" si="46"/>
        <v>29.942340821504509</v>
      </c>
      <c r="AA247" s="13">
        <f t="shared" si="47"/>
        <v>606965625</v>
      </c>
    </row>
    <row r="248" spans="1:27" x14ac:dyDescent="0.25">
      <c r="A248" s="10" t="s">
        <v>307</v>
      </c>
      <c r="B248" s="11">
        <v>-3351000000</v>
      </c>
      <c r="C248" s="11">
        <v>23704000000</v>
      </c>
      <c r="D248" s="11"/>
      <c r="E248" s="11"/>
      <c r="F248" s="11"/>
      <c r="G248" s="11">
        <v>553000000</v>
      </c>
      <c r="H248" s="11">
        <v>16450000000</v>
      </c>
      <c r="I248" s="11">
        <v>36434000000</v>
      </c>
      <c r="J248" s="11">
        <v>8839000000</v>
      </c>
      <c r="K248" s="11"/>
      <c r="L248" s="11">
        <v>19687441254.919998</v>
      </c>
      <c r="M248" s="11"/>
      <c r="N248" s="11">
        <v>-6.3</v>
      </c>
      <c r="O248" s="11">
        <v>531800000</v>
      </c>
      <c r="P248" s="12">
        <f t="shared" si="36"/>
        <v>-0.2037082066869301</v>
      </c>
      <c r="Q248" s="12">
        <f t="shared" si="37"/>
        <v>-9.1974529285831913E-2</v>
      </c>
      <c r="R248" s="12">
        <f t="shared" si="38"/>
        <v>-0.14136854539318258</v>
      </c>
      <c r="S248" s="12">
        <f t="shared" si="39"/>
        <v>0</v>
      </c>
      <c r="T248" s="12">
        <f t="shared" si="40"/>
        <v>0</v>
      </c>
      <c r="U248" s="13" t="str">
        <f t="shared" si="41"/>
        <v/>
      </c>
      <c r="V248" s="13" t="str">
        <f t="shared" si="42"/>
        <v/>
      </c>
      <c r="W248" s="12">
        <f t="shared" si="43"/>
        <v>2.186721499466171E-2</v>
      </c>
      <c r="X248" s="12">
        <f t="shared" si="44"/>
        <v>0</v>
      </c>
      <c r="Y248" s="13">
        <f t="shared" si="45"/>
        <v>-6.3012410680707029</v>
      </c>
      <c r="Z248" s="13">
        <f t="shared" si="46"/>
        <v>-5.8750943762817061</v>
      </c>
      <c r="AA248" s="13">
        <f t="shared" si="47"/>
        <v>531904761.90476191</v>
      </c>
    </row>
    <row r="249" spans="1:27" x14ac:dyDescent="0.25">
      <c r="A249" s="10" t="s">
        <v>308</v>
      </c>
      <c r="B249" s="11">
        <v>1385000000</v>
      </c>
      <c r="C249" s="11">
        <v>16632000000</v>
      </c>
      <c r="D249" s="11"/>
      <c r="E249" s="11">
        <v>2200000000</v>
      </c>
      <c r="F249" s="11">
        <v>3367000000</v>
      </c>
      <c r="G249" s="11">
        <v>2116000000</v>
      </c>
      <c r="H249" s="11">
        <v>6099000000</v>
      </c>
      <c r="I249" s="11">
        <v>29675000000</v>
      </c>
      <c r="J249" s="11">
        <v>13989000000</v>
      </c>
      <c r="K249" s="11"/>
      <c r="L249" s="11">
        <v>34877093203.739998</v>
      </c>
      <c r="M249" s="11"/>
      <c r="N249" s="11">
        <v>8.16</v>
      </c>
      <c r="O249" s="11">
        <v>169800000</v>
      </c>
      <c r="P249" s="12">
        <f t="shared" si="36"/>
        <v>0.22708640760780455</v>
      </c>
      <c r="Q249" s="12">
        <f t="shared" si="37"/>
        <v>4.667228306655434E-2</v>
      </c>
      <c r="R249" s="12">
        <f t="shared" si="38"/>
        <v>8.3273208273208277E-2</v>
      </c>
      <c r="S249" s="12">
        <f t="shared" si="39"/>
        <v>0.13227513227513227</v>
      </c>
      <c r="T249" s="12">
        <f t="shared" si="40"/>
        <v>0</v>
      </c>
      <c r="U249" s="13">
        <f t="shared" si="41"/>
        <v>4.1547371547371545</v>
      </c>
      <c r="V249" s="13">
        <f t="shared" si="42"/>
        <v>14.513244194754973</v>
      </c>
      <c r="W249" s="12">
        <f t="shared" si="43"/>
        <v>0.10533651931501394</v>
      </c>
      <c r="X249" s="12">
        <f t="shared" si="44"/>
        <v>0</v>
      </c>
      <c r="Y249" s="13">
        <f t="shared" si="45"/>
        <v>8.1566548881036507</v>
      </c>
      <c r="Z249" s="13">
        <f t="shared" si="46"/>
        <v>25.182016753602888</v>
      </c>
      <c r="AA249" s="13">
        <f t="shared" si="47"/>
        <v>169730392.15686274</v>
      </c>
    </row>
    <row r="250" spans="1:27" x14ac:dyDescent="0.25">
      <c r="A250" s="10" t="s">
        <v>309</v>
      </c>
      <c r="B250" s="11">
        <v>587000000</v>
      </c>
      <c r="C250" s="11">
        <v>7781300000</v>
      </c>
      <c r="D250" s="11">
        <v>3363200000</v>
      </c>
      <c r="E250" s="11">
        <v>1131800000</v>
      </c>
      <c r="F250" s="11">
        <v>1654500000</v>
      </c>
      <c r="G250" s="11">
        <v>1160800000</v>
      </c>
      <c r="H250" s="11">
        <v>10329950000</v>
      </c>
      <c r="I250" s="11">
        <v>18218200000</v>
      </c>
      <c r="J250" s="11">
        <v>590600000</v>
      </c>
      <c r="K250" s="11"/>
      <c r="L250" s="11">
        <v>30152504253.970001</v>
      </c>
      <c r="M250" s="11">
        <v>31500000</v>
      </c>
      <c r="N250" s="11">
        <v>1.49</v>
      </c>
      <c r="O250" s="11">
        <v>394000000</v>
      </c>
      <c r="P250" s="12">
        <f t="shared" si="36"/>
        <v>5.682505723648227E-2</v>
      </c>
      <c r="Q250" s="12">
        <f t="shared" si="37"/>
        <v>3.2220526726021229E-2</v>
      </c>
      <c r="R250" s="12">
        <f t="shared" si="38"/>
        <v>7.5437266266562136E-2</v>
      </c>
      <c r="S250" s="12">
        <f t="shared" si="39"/>
        <v>0.14545127420867979</v>
      </c>
      <c r="T250" s="12">
        <f t="shared" si="40"/>
        <v>0.43221569660596559</v>
      </c>
      <c r="U250" s="13">
        <f t="shared" si="41"/>
        <v>0.35696585071018433</v>
      </c>
      <c r="V250" s="13">
        <f t="shared" si="42"/>
        <v>18.581507557552133</v>
      </c>
      <c r="W250" s="12">
        <f t="shared" si="43"/>
        <v>0.10629501261383355</v>
      </c>
      <c r="X250" s="12">
        <f t="shared" si="44"/>
        <v>5.3662691652470187E-2</v>
      </c>
      <c r="Y250" s="13">
        <f t="shared" si="45"/>
        <v>1.4898477157360406</v>
      </c>
      <c r="Z250" s="13">
        <f t="shared" si="46"/>
        <v>51.367128200971038</v>
      </c>
      <c r="AA250" s="13">
        <f t="shared" si="47"/>
        <v>393959731.54362416</v>
      </c>
    </row>
    <row r="251" spans="1:27" x14ac:dyDescent="0.25">
      <c r="A251" s="10" t="s">
        <v>310</v>
      </c>
      <c r="B251" s="11">
        <v>285020000</v>
      </c>
      <c r="C251" s="11">
        <v>4984112000</v>
      </c>
      <c r="D251" s="11"/>
      <c r="E251" s="11">
        <v>1304758000</v>
      </c>
      <c r="F251" s="11">
        <v>2364878000</v>
      </c>
      <c r="G251" s="11">
        <v>-633624000</v>
      </c>
      <c r="H251" s="11">
        <v>-956765500</v>
      </c>
      <c r="I251" s="11">
        <v>21486815000</v>
      </c>
      <c r="J251" s="11">
        <v>17102981000</v>
      </c>
      <c r="K251" s="11"/>
      <c r="L251" s="11">
        <v>35548249884.650002</v>
      </c>
      <c r="M251" s="11">
        <v>971498000</v>
      </c>
      <c r="N251" s="11">
        <v>0.95</v>
      </c>
      <c r="O251" s="11">
        <v>298834000</v>
      </c>
      <c r="P251" s="12">
        <f t="shared" si="36"/>
        <v>-0.2978995375564859</v>
      </c>
      <c r="Q251" s="12">
        <f t="shared" si="37"/>
        <v>1.3264878950184101E-2</v>
      </c>
      <c r="R251" s="12">
        <f t="shared" si="38"/>
        <v>5.7185713322654062E-2</v>
      </c>
      <c r="S251" s="12">
        <f t="shared" si="39"/>
        <v>0.26178344306869511</v>
      </c>
      <c r="T251" s="12">
        <f t="shared" si="40"/>
        <v>0</v>
      </c>
      <c r="U251" s="13">
        <f t="shared" si="41"/>
        <v>7.2320775109751958</v>
      </c>
      <c r="V251" s="13">
        <f t="shared" si="42"/>
        <v>22.263825400147493</v>
      </c>
      <c r="W251" s="12">
        <f t="shared" si="43"/>
        <v>-3.9242880165943531E-2</v>
      </c>
      <c r="X251" s="12">
        <f t="shared" si="44"/>
        <v>3.4085257174935091</v>
      </c>
      <c r="Y251" s="13">
        <f t="shared" si="45"/>
        <v>0.95377366698568433</v>
      </c>
      <c r="Z251" s="13">
        <f t="shared" si="46"/>
        <v>124.7219489321802</v>
      </c>
      <c r="AA251" s="13">
        <f t="shared" si="47"/>
        <v>300021052.63157898</v>
      </c>
    </row>
    <row r="252" spans="1:27" x14ac:dyDescent="0.25">
      <c r="A252" s="10" t="s">
        <v>311</v>
      </c>
      <c r="B252" s="11">
        <v>2979100000</v>
      </c>
      <c r="C252" s="11">
        <v>10582100000</v>
      </c>
      <c r="D252" s="11">
        <v>7015100000</v>
      </c>
      <c r="E252" s="11">
        <v>3222700000</v>
      </c>
      <c r="F252" s="11">
        <v>3822700000</v>
      </c>
      <c r="G252" s="11">
        <v>2834300000</v>
      </c>
      <c r="H252" s="11">
        <v>17290450000</v>
      </c>
      <c r="I252" s="11">
        <v>20111000000</v>
      </c>
      <c r="J252" s="11"/>
      <c r="K252" s="11"/>
      <c r="L252" s="11">
        <v>145755713301.82001</v>
      </c>
      <c r="M252" s="11"/>
      <c r="N252" s="11">
        <v>8.2799999999999994</v>
      </c>
      <c r="O252" s="11">
        <v>359800000</v>
      </c>
      <c r="P252" s="12">
        <f t="shared" si="36"/>
        <v>0.17229742430069778</v>
      </c>
      <c r="Q252" s="12">
        <f t="shared" si="37"/>
        <v>0.14813286261250061</v>
      </c>
      <c r="R252" s="12">
        <f t="shared" si="38"/>
        <v>0.28152257113427392</v>
      </c>
      <c r="S252" s="12">
        <f t="shared" si="39"/>
        <v>0.3045425766152276</v>
      </c>
      <c r="T252" s="12">
        <f t="shared" si="40"/>
        <v>0.6629213483146067</v>
      </c>
      <c r="U252" s="13">
        <f t="shared" si="41"/>
        <v>0</v>
      </c>
      <c r="V252" s="13">
        <f t="shared" si="42"/>
        <v>38.128996076547992</v>
      </c>
      <c r="W252" s="12">
        <f t="shared" si="43"/>
        <v>0.16392285915057156</v>
      </c>
      <c r="X252" s="12">
        <f t="shared" si="44"/>
        <v>0</v>
      </c>
      <c r="Y252" s="13">
        <f t="shared" si="45"/>
        <v>8.2798777098388001</v>
      </c>
      <c r="Z252" s="13">
        <f t="shared" si="46"/>
        <v>48.926089524292571</v>
      </c>
      <c r="AA252" s="13">
        <f t="shared" si="47"/>
        <v>359794685.99033821</v>
      </c>
    </row>
    <row r="253" spans="1:27" x14ac:dyDescent="0.25">
      <c r="A253" s="10" t="s">
        <v>312</v>
      </c>
      <c r="B253" s="11">
        <v>740636000</v>
      </c>
      <c r="C253" s="11">
        <v>6474137000</v>
      </c>
      <c r="D253" s="11">
        <v>4489226000</v>
      </c>
      <c r="E253" s="11">
        <v>1063771000</v>
      </c>
      <c r="F253" s="11">
        <v>1258751000</v>
      </c>
      <c r="G253" s="11"/>
      <c r="H253" s="11">
        <v>780619000</v>
      </c>
      <c r="I253" s="11">
        <v>7655273000</v>
      </c>
      <c r="J253" s="11">
        <v>2977971000</v>
      </c>
      <c r="K253" s="11"/>
      <c r="L253" s="11">
        <v>8883846314.8700008</v>
      </c>
      <c r="M253" s="11"/>
      <c r="N253" s="11">
        <v>10.59</v>
      </c>
      <c r="O253" s="11">
        <v>69965000</v>
      </c>
      <c r="P253" s="12">
        <f t="shared" si="36"/>
        <v>0.9487803909461594</v>
      </c>
      <c r="Q253" s="12">
        <f t="shared" si="37"/>
        <v>9.6748476507630757E-2</v>
      </c>
      <c r="R253" s="12">
        <f t="shared" si="38"/>
        <v>0.11439918555940351</v>
      </c>
      <c r="S253" s="12">
        <f t="shared" si="39"/>
        <v>0.16431085718451741</v>
      </c>
      <c r="T253" s="12">
        <f t="shared" si="40"/>
        <v>0.69340917561676563</v>
      </c>
      <c r="U253" s="13">
        <f t="shared" si="41"/>
        <v>2.3658142078933801</v>
      </c>
      <c r="V253" s="13">
        <f t="shared" si="42"/>
        <v>9.4234819395337137</v>
      </c>
      <c r="W253" s="12">
        <f t="shared" si="43"/>
        <v>0</v>
      </c>
      <c r="X253" s="12">
        <f t="shared" si="44"/>
        <v>0</v>
      </c>
      <c r="Y253" s="13">
        <f t="shared" si="45"/>
        <v>10.585807189308941</v>
      </c>
      <c r="Z253" s="13">
        <f t="shared" si="46"/>
        <v>11.99488860232287</v>
      </c>
      <c r="AA253" s="13">
        <f t="shared" si="47"/>
        <v>69937299.338999063</v>
      </c>
    </row>
    <row r="254" spans="1:27" x14ac:dyDescent="0.25">
      <c r="A254" s="10" t="s">
        <v>313</v>
      </c>
      <c r="B254" s="11">
        <v>3134000000</v>
      </c>
      <c r="C254" s="11">
        <v>16221000000</v>
      </c>
      <c r="D254" s="11"/>
      <c r="E254" s="11">
        <v>4285000000</v>
      </c>
      <c r="F254" s="11">
        <v>4609000000</v>
      </c>
      <c r="G254" s="11">
        <v>2739000000</v>
      </c>
      <c r="H254" s="11"/>
      <c r="I254" s="11">
        <v>16264000000</v>
      </c>
      <c r="J254" s="11">
        <v>7682000000</v>
      </c>
      <c r="K254" s="11"/>
      <c r="L254" s="11">
        <v>76378599160.770004</v>
      </c>
      <c r="M254" s="11">
        <v>1809000000</v>
      </c>
      <c r="N254" s="11">
        <v>10.84</v>
      </c>
      <c r="O254" s="11">
        <v>289100000</v>
      </c>
      <c r="P254" s="12" t="str">
        <f t="shared" si="36"/>
        <v/>
      </c>
      <c r="Q254" s="12">
        <f t="shared" si="37"/>
        <v>0.1926955238563699</v>
      </c>
      <c r="R254" s="12">
        <f t="shared" si="38"/>
        <v>0.19320633746378152</v>
      </c>
      <c r="S254" s="12">
        <f t="shared" si="39"/>
        <v>0.26416373836384932</v>
      </c>
      <c r="T254" s="12">
        <f t="shared" si="40"/>
        <v>0</v>
      </c>
      <c r="U254" s="13">
        <f t="shared" si="41"/>
        <v>1.6667389889346931</v>
      </c>
      <c r="V254" s="13">
        <f t="shared" si="42"/>
        <v>18.238359548876112</v>
      </c>
      <c r="W254" s="12">
        <f t="shared" si="43"/>
        <v>0.35654777401718302</v>
      </c>
      <c r="X254" s="12">
        <f t="shared" si="44"/>
        <v>0.57721761327377152</v>
      </c>
      <c r="Y254" s="13">
        <f t="shared" si="45"/>
        <v>10.840539605672777</v>
      </c>
      <c r="Z254" s="13">
        <f t="shared" si="46"/>
        <v>24.370963356978304</v>
      </c>
      <c r="AA254" s="13">
        <f t="shared" si="47"/>
        <v>289114391.14391142</v>
      </c>
    </row>
    <row r="255" spans="1:27" x14ac:dyDescent="0.25">
      <c r="A255" s="10" t="s">
        <v>314</v>
      </c>
      <c r="B255" s="11">
        <v>567600000</v>
      </c>
      <c r="C255" s="11">
        <v>6592400000</v>
      </c>
      <c r="D255" s="11"/>
      <c r="E255" s="11">
        <v>-639800000</v>
      </c>
      <c r="F255" s="11">
        <v>-492200000</v>
      </c>
      <c r="G255" s="11">
        <v>1747400000</v>
      </c>
      <c r="H255" s="11">
        <v>13476850000</v>
      </c>
      <c r="I255" s="11">
        <v>26834600000</v>
      </c>
      <c r="J255" s="11">
        <v>1966700000</v>
      </c>
      <c r="K255" s="11"/>
      <c r="L255" s="11">
        <v>12682716826.26</v>
      </c>
      <c r="M255" s="11">
        <v>380100000</v>
      </c>
      <c r="N255" s="11">
        <v>1.25</v>
      </c>
      <c r="O255" s="11">
        <v>453700000</v>
      </c>
      <c r="P255" s="12">
        <f t="shared" si="36"/>
        <v>4.2116666728501097E-2</v>
      </c>
      <c r="Q255" s="12">
        <f t="shared" si="37"/>
        <v>2.1151796561156119E-2</v>
      </c>
      <c r="R255" s="12">
        <f t="shared" si="38"/>
        <v>8.6099144469388988E-2</v>
      </c>
      <c r="S255" s="12">
        <f t="shared" si="39"/>
        <v>-9.7051149808870821E-2</v>
      </c>
      <c r="T255" s="12">
        <f t="shared" si="40"/>
        <v>0</v>
      </c>
      <c r="U255" s="13">
        <f t="shared" si="41"/>
        <v>-3.9957334416903696</v>
      </c>
      <c r="V255" s="13">
        <f t="shared" si="42"/>
        <v>-29.763138614912638</v>
      </c>
      <c r="W255" s="12">
        <f t="shared" si="43"/>
        <v>0.11314755998458903</v>
      </c>
      <c r="X255" s="12">
        <f t="shared" si="44"/>
        <v>0.66966173361522197</v>
      </c>
      <c r="Y255" s="13">
        <f t="shared" si="45"/>
        <v>1.2510469473220189</v>
      </c>
      <c r="Z255" s="13">
        <f t="shared" si="46"/>
        <v>22.344462343657504</v>
      </c>
      <c r="AA255" s="13">
        <f t="shared" si="47"/>
        <v>454080000</v>
      </c>
    </row>
    <row r="256" spans="1:27" x14ac:dyDescent="0.25">
      <c r="A256" s="10" t="s">
        <v>315</v>
      </c>
      <c r="B256" s="11">
        <v>381478000</v>
      </c>
      <c r="C256" s="11"/>
      <c r="D256" s="11"/>
      <c r="E256" s="11"/>
      <c r="F256" s="11">
        <v>682871000</v>
      </c>
      <c r="G256" s="11">
        <v>484092000</v>
      </c>
      <c r="H256" s="11">
        <v>3578651500</v>
      </c>
      <c r="I256" s="11">
        <v>11941714000</v>
      </c>
      <c r="J256" s="11">
        <v>4084220000</v>
      </c>
      <c r="K256" s="11"/>
      <c r="L256" s="11">
        <v>14859297380.93</v>
      </c>
      <c r="M256" s="11">
        <v>158345000</v>
      </c>
      <c r="N256" s="11">
        <v>3.23</v>
      </c>
      <c r="O256" s="11">
        <v>118280000</v>
      </c>
      <c r="P256" s="12">
        <f t="shared" si="36"/>
        <v>0.10659825356003512</v>
      </c>
      <c r="Q256" s="12">
        <f t="shared" si="37"/>
        <v>3.194499550064589E-2</v>
      </c>
      <c r="R256" s="12" t="str">
        <f t="shared" si="38"/>
        <v/>
      </c>
      <c r="S256" s="12" t="str">
        <f t="shared" si="39"/>
        <v/>
      </c>
      <c r="T256" s="12" t="str">
        <f t="shared" si="40"/>
        <v/>
      </c>
      <c r="U256" s="13">
        <f t="shared" si="41"/>
        <v>5.9809539429848391</v>
      </c>
      <c r="V256" s="13">
        <f t="shared" si="42"/>
        <v>27.740989705127323</v>
      </c>
      <c r="W256" s="12">
        <f t="shared" si="43"/>
        <v>6.3173707140984942E-2</v>
      </c>
      <c r="X256" s="12">
        <f t="shared" si="44"/>
        <v>0.41508291434892708</v>
      </c>
      <c r="Y256" s="13">
        <f t="shared" si="45"/>
        <v>3.2252113628677712</v>
      </c>
      <c r="Z256" s="13">
        <f t="shared" si="46"/>
        <v>38.951911724739041</v>
      </c>
      <c r="AA256" s="13">
        <f t="shared" si="47"/>
        <v>118104643.96284829</v>
      </c>
    </row>
    <row r="257" spans="1:27" x14ac:dyDescent="0.25">
      <c r="A257" s="10" t="s">
        <v>316</v>
      </c>
      <c r="B257" s="11">
        <v>622095000</v>
      </c>
      <c r="C257" s="11"/>
      <c r="D257" s="11"/>
      <c r="E257" s="11"/>
      <c r="F257" s="11">
        <v>1608156000</v>
      </c>
      <c r="G257" s="11">
        <v>1031972000</v>
      </c>
      <c r="H257" s="11">
        <v>3730515500</v>
      </c>
      <c r="I257" s="11">
        <v>7930540000</v>
      </c>
      <c r="J257" s="11">
        <v>977700000</v>
      </c>
      <c r="K257" s="11"/>
      <c r="L257" s="11">
        <v>26649896378.490002</v>
      </c>
      <c r="M257" s="11">
        <v>169639000</v>
      </c>
      <c r="N257" s="11">
        <v>6.53</v>
      </c>
      <c r="O257" s="11">
        <v>95204000</v>
      </c>
      <c r="P257" s="12">
        <f t="shared" si="36"/>
        <v>0.16675845469614051</v>
      </c>
      <c r="Q257" s="12">
        <f t="shared" si="37"/>
        <v>7.8442955965167566E-2</v>
      </c>
      <c r="R257" s="12" t="str">
        <f t="shared" si="38"/>
        <v/>
      </c>
      <c r="S257" s="12" t="str">
        <f t="shared" si="39"/>
        <v/>
      </c>
      <c r="T257" s="12" t="str">
        <f t="shared" si="40"/>
        <v/>
      </c>
      <c r="U257" s="13">
        <f t="shared" si="41"/>
        <v>0.60796340653518688</v>
      </c>
      <c r="V257" s="13">
        <f t="shared" si="42"/>
        <v>17.179674346574586</v>
      </c>
      <c r="W257" s="12">
        <f t="shared" si="43"/>
        <v>0.21918537925887208</v>
      </c>
      <c r="X257" s="12">
        <f t="shared" si="44"/>
        <v>0.27268986248081079</v>
      </c>
      <c r="Y257" s="13">
        <f t="shared" si="45"/>
        <v>6.5343367925717404</v>
      </c>
      <c r="Z257" s="13">
        <f t="shared" si="46"/>
        <v>42.838949643527116</v>
      </c>
      <c r="AA257" s="13">
        <f t="shared" si="47"/>
        <v>95267228.177641645</v>
      </c>
    </row>
    <row r="258" spans="1:27" x14ac:dyDescent="0.25">
      <c r="A258" s="10" t="s">
        <v>317</v>
      </c>
      <c r="B258" s="11">
        <v>862000000</v>
      </c>
      <c r="C258" s="11">
        <v>33590000000</v>
      </c>
      <c r="D258" s="11">
        <v>3099000000</v>
      </c>
      <c r="E258" s="11">
        <v>1439000000</v>
      </c>
      <c r="F258" s="11">
        <v>2136000000</v>
      </c>
      <c r="G258" s="11">
        <v>1306000000</v>
      </c>
      <c r="H258" s="11">
        <v>1304000000</v>
      </c>
      <c r="I258" s="11">
        <v>23819000000</v>
      </c>
      <c r="J258" s="11">
        <v>3378000000</v>
      </c>
      <c r="K258" s="11"/>
      <c r="L258" s="11">
        <v>34842755986.699997</v>
      </c>
      <c r="M258" s="11">
        <v>35000000</v>
      </c>
      <c r="N258" s="11">
        <v>8.0399999999999991</v>
      </c>
      <c r="O258" s="11">
        <v>107200000</v>
      </c>
      <c r="P258" s="12">
        <f t="shared" si="36"/>
        <v>0.66104294478527603</v>
      </c>
      <c r="Q258" s="12">
        <f t="shared" si="37"/>
        <v>3.6189596540576852E-2</v>
      </c>
      <c r="R258" s="12">
        <f t="shared" si="38"/>
        <v>2.5662399523667757E-2</v>
      </c>
      <c r="S258" s="12">
        <f t="shared" si="39"/>
        <v>4.2840130991366479E-2</v>
      </c>
      <c r="T258" s="12">
        <f t="shared" si="40"/>
        <v>9.2259601071747549E-2</v>
      </c>
      <c r="U258" s="13">
        <f t="shared" si="41"/>
        <v>1.5814606741573034</v>
      </c>
      <c r="V258" s="13">
        <f t="shared" si="42"/>
        <v>17.89361235332397</v>
      </c>
      <c r="W258" s="12">
        <f t="shared" si="43"/>
        <v>0.27894062366510036</v>
      </c>
      <c r="X258" s="12">
        <f t="shared" si="44"/>
        <v>4.0603248259860787E-2</v>
      </c>
      <c r="Y258" s="13">
        <f t="shared" si="45"/>
        <v>8.0410447761194028</v>
      </c>
      <c r="Z258" s="13">
        <f t="shared" si="46"/>
        <v>40.420830611020875</v>
      </c>
      <c r="AA258" s="13">
        <f t="shared" si="47"/>
        <v>107213930.34825872</v>
      </c>
    </row>
    <row r="259" spans="1:27" x14ac:dyDescent="0.25">
      <c r="A259" s="10" t="s">
        <v>318</v>
      </c>
      <c r="B259" s="11">
        <v>3531000000</v>
      </c>
      <c r="C259" s="11">
        <v>24433000000</v>
      </c>
      <c r="D259" s="11">
        <v>8933000000</v>
      </c>
      <c r="E259" s="11"/>
      <c r="F259" s="11"/>
      <c r="G259" s="11">
        <v>2179000000</v>
      </c>
      <c r="H259" s="11">
        <v>14661500000</v>
      </c>
      <c r="I259" s="11">
        <v>38354000000</v>
      </c>
      <c r="J259" s="11">
        <v>9195000000</v>
      </c>
      <c r="K259" s="11"/>
      <c r="L259" s="11">
        <v>85739544944.820007</v>
      </c>
      <c r="M259" s="11">
        <v>975000000</v>
      </c>
      <c r="N259" s="11">
        <v>5.75</v>
      </c>
      <c r="O259" s="11">
        <v>614000000</v>
      </c>
      <c r="P259" s="12">
        <f t="shared" ref="P259:P322" si="48">IFERROR(B259/H259,"")</f>
        <v>0.24083483954574908</v>
      </c>
      <c r="Q259" s="12">
        <f t="shared" ref="Q259:Q322" si="49">IFERROR(B259/I259,"")</f>
        <v>9.2063409292381493E-2</v>
      </c>
      <c r="R259" s="12">
        <f t="shared" ref="R259:R322" si="50">IFERROR(B259/C259,"")</f>
        <v>0.14451766054107151</v>
      </c>
      <c r="S259" s="12">
        <f t="shared" ref="S259:S322" si="51">IFERROR(E259/C259,"")</f>
        <v>0</v>
      </c>
      <c r="T259" s="12">
        <f t="shared" ref="T259:T322" si="52">IFERROR(D259/C259,"")</f>
        <v>0.36561208202021855</v>
      </c>
      <c r="U259" s="13" t="str">
        <f t="shared" ref="U259:U322" si="53">IFERROR(J259/F259,"")</f>
        <v/>
      </c>
      <c r="V259" s="13" t="str">
        <f t="shared" ref="V259:V322" si="54">IFERROR((L259+J259-K259)/F259,"")</f>
        <v/>
      </c>
      <c r="W259" s="12">
        <f t="shared" ref="W259:W322" si="55">IFERROR(G259/(J259+H259),"")</f>
        <v>9.1337790539266023E-2</v>
      </c>
      <c r="X259" s="12">
        <f t="shared" ref="X259:X322" si="56">IFERROR(M259/B259,"")</f>
        <v>0.27612574341546303</v>
      </c>
      <c r="Y259" s="13">
        <f t="shared" ref="Y259:Y322" si="57">IFERROR(B259/O259,"")</f>
        <v>5.7508143322475567</v>
      </c>
      <c r="Z259" s="13">
        <f t="shared" ref="Z259:Z322" si="58">IFERROR(L259/B259,"")</f>
        <v>24.281944192812237</v>
      </c>
      <c r="AA259" s="13">
        <f t="shared" ref="AA259:AA322" si="59">IFERROR(B259/N259,"")</f>
        <v>614086956.52173913</v>
      </c>
    </row>
    <row r="260" spans="1:27" x14ac:dyDescent="0.25">
      <c r="A260" s="10" t="s">
        <v>319</v>
      </c>
      <c r="B260" s="11">
        <v>519153000</v>
      </c>
      <c r="C260" s="11">
        <v>2515688000</v>
      </c>
      <c r="D260" s="11"/>
      <c r="E260" s="11">
        <v>653958000</v>
      </c>
      <c r="F260" s="11">
        <v>695771000</v>
      </c>
      <c r="G260" s="11">
        <v>727610000</v>
      </c>
      <c r="H260" s="11">
        <v>2085621000</v>
      </c>
      <c r="I260" s="11">
        <v>3050557000</v>
      </c>
      <c r="J260" s="11">
        <v>0</v>
      </c>
      <c r="K260" s="11"/>
      <c r="L260" s="11">
        <v>10673248258.33</v>
      </c>
      <c r="M260" s="11">
        <v>169637000</v>
      </c>
      <c r="N260" s="11">
        <v>7.17</v>
      </c>
      <c r="O260" s="11">
        <v>72433000</v>
      </c>
      <c r="P260" s="12">
        <f t="shared" si="48"/>
        <v>0.24892010581021193</v>
      </c>
      <c r="Q260" s="12">
        <f t="shared" si="49"/>
        <v>0.17018301903554006</v>
      </c>
      <c r="R260" s="12">
        <f t="shared" si="50"/>
        <v>0.20636621075427478</v>
      </c>
      <c r="S260" s="12">
        <f t="shared" si="51"/>
        <v>0.25995194952633238</v>
      </c>
      <c r="T260" s="12">
        <f t="shared" si="52"/>
        <v>0</v>
      </c>
      <c r="U260" s="13">
        <f t="shared" si="53"/>
        <v>0</v>
      </c>
      <c r="V260" s="13">
        <f t="shared" si="54"/>
        <v>15.340174077864699</v>
      </c>
      <c r="W260" s="12">
        <f t="shared" si="55"/>
        <v>0.34886971314538934</v>
      </c>
      <c r="X260" s="12">
        <f t="shared" si="56"/>
        <v>0.32675723726916728</v>
      </c>
      <c r="Y260" s="13">
        <f t="shared" si="57"/>
        <v>7.1673546587881214</v>
      </c>
      <c r="Z260" s="13">
        <f t="shared" si="58"/>
        <v>20.558964810624229</v>
      </c>
      <c r="AA260" s="13">
        <f t="shared" si="59"/>
        <v>72406276.150627613</v>
      </c>
    </row>
    <row r="261" spans="1:27" x14ac:dyDescent="0.25">
      <c r="A261" s="10" t="s">
        <v>320</v>
      </c>
      <c r="B261" s="11">
        <v>21040000000</v>
      </c>
      <c r="C261" s="11">
        <v>96362000000</v>
      </c>
      <c r="D261" s="11">
        <v>65357000000</v>
      </c>
      <c r="E261" s="11"/>
      <c r="F261" s="11"/>
      <c r="G261" s="11">
        <v>17784000000</v>
      </c>
      <c r="H261" s="11">
        <v>79647500000</v>
      </c>
      <c r="I261" s="11">
        <v>200894000000</v>
      </c>
      <c r="J261" s="11">
        <v>41438000000</v>
      </c>
      <c r="K261" s="11"/>
      <c r="L261" s="11">
        <v>623709931878.58997</v>
      </c>
      <c r="M261" s="11"/>
      <c r="N261" s="11">
        <v>8.6</v>
      </c>
      <c r="O261" s="11">
        <v>2445200000</v>
      </c>
      <c r="P261" s="12">
        <f t="shared" si="48"/>
        <v>0.26416397250384505</v>
      </c>
      <c r="Q261" s="12">
        <f t="shared" si="49"/>
        <v>0.10473184863659442</v>
      </c>
      <c r="R261" s="12">
        <f t="shared" si="50"/>
        <v>0.21834333035844006</v>
      </c>
      <c r="S261" s="12">
        <f t="shared" si="51"/>
        <v>0</v>
      </c>
      <c r="T261" s="12">
        <f t="shared" si="52"/>
        <v>0.67824453622797365</v>
      </c>
      <c r="U261" s="13" t="str">
        <f t="shared" si="53"/>
        <v/>
      </c>
      <c r="V261" s="13" t="str">
        <f t="shared" si="54"/>
        <v/>
      </c>
      <c r="W261" s="12">
        <f t="shared" si="55"/>
        <v>0.14687142556292868</v>
      </c>
      <c r="X261" s="12">
        <f t="shared" si="56"/>
        <v>0</v>
      </c>
      <c r="Y261" s="13">
        <f t="shared" si="57"/>
        <v>8.6046131195812201</v>
      </c>
      <c r="Z261" s="13">
        <f t="shared" si="58"/>
        <v>29.644008169134505</v>
      </c>
      <c r="AA261" s="13">
        <f t="shared" si="59"/>
        <v>2446511627.9069767</v>
      </c>
    </row>
    <row r="262" spans="1:27" x14ac:dyDescent="0.25">
      <c r="A262" s="10" t="s">
        <v>321</v>
      </c>
      <c r="B262" s="11">
        <v>58899000000</v>
      </c>
      <c r="C262" s="11">
        <v>182447000000</v>
      </c>
      <c r="D262" s="11"/>
      <c r="E262" s="11"/>
      <c r="F262" s="11"/>
      <c r="G262" s="11"/>
      <c r="H262" s="11">
        <v>357729000000</v>
      </c>
      <c r="I262" s="11">
        <v>4900475000000</v>
      </c>
      <c r="J262" s="11"/>
      <c r="K262" s="11"/>
      <c r="L262" s="11">
        <v>898895698667.34998</v>
      </c>
      <c r="M262" s="11">
        <v>17176000000</v>
      </c>
      <c r="N262" s="11">
        <v>21.65</v>
      </c>
      <c r="O262" s="11">
        <v>2720200000</v>
      </c>
      <c r="P262" s="12">
        <f t="shared" si="48"/>
        <v>0.16464698137416872</v>
      </c>
      <c r="Q262" s="12">
        <f t="shared" si="49"/>
        <v>1.2019038970712022E-2</v>
      </c>
      <c r="R262" s="12">
        <f t="shared" si="50"/>
        <v>0.32282799936419893</v>
      </c>
      <c r="S262" s="12">
        <f t="shared" si="51"/>
        <v>0</v>
      </c>
      <c r="T262" s="12">
        <f t="shared" si="52"/>
        <v>0</v>
      </c>
      <c r="U262" s="13" t="str">
        <f t="shared" si="53"/>
        <v/>
      </c>
      <c r="V262" s="13" t="str">
        <f t="shared" si="54"/>
        <v/>
      </c>
      <c r="W262" s="12">
        <f t="shared" si="55"/>
        <v>0</v>
      </c>
      <c r="X262" s="12">
        <f t="shared" si="56"/>
        <v>0.29161785429294218</v>
      </c>
      <c r="Y262" s="13">
        <f t="shared" si="57"/>
        <v>21.652452025586353</v>
      </c>
      <c r="Z262" s="13">
        <f t="shared" si="58"/>
        <v>15.261646185289223</v>
      </c>
      <c r="AA262" s="13">
        <f t="shared" si="59"/>
        <v>2720508083.1408777</v>
      </c>
    </row>
    <row r="263" spans="1:27" x14ac:dyDescent="0.25">
      <c r="A263" s="10" t="s">
        <v>322</v>
      </c>
      <c r="B263" s="11">
        <v>1832000000</v>
      </c>
      <c r="C263" s="11">
        <v>16944000000</v>
      </c>
      <c r="D263" s="11">
        <v>9112000000</v>
      </c>
      <c r="E263" s="11">
        <v>3530000000</v>
      </c>
      <c r="F263" s="11">
        <v>3993000000</v>
      </c>
      <c r="G263" s="11">
        <v>1581000000</v>
      </c>
      <c r="H263" s="11">
        <v>24854000000</v>
      </c>
      <c r="I263" s="11">
        <v>73140000000</v>
      </c>
      <c r="J263" s="11">
        <v>11568000000</v>
      </c>
      <c r="K263" s="11"/>
      <c r="L263" s="11">
        <v>41796386014.900002</v>
      </c>
      <c r="M263" s="11">
        <v>1250000000</v>
      </c>
      <c r="N263" s="11">
        <v>1.34</v>
      </c>
      <c r="O263" s="11">
        <v>1363700000</v>
      </c>
      <c r="P263" s="12">
        <f t="shared" si="48"/>
        <v>7.3710469139776288E-2</v>
      </c>
      <c r="Q263" s="12">
        <f t="shared" si="49"/>
        <v>2.504785343177468E-2</v>
      </c>
      <c r="R263" s="12">
        <f t="shared" si="50"/>
        <v>0.10812086874409821</v>
      </c>
      <c r="S263" s="12">
        <f t="shared" si="51"/>
        <v>0.20833333333333334</v>
      </c>
      <c r="T263" s="12">
        <f t="shared" si="52"/>
        <v>0.53777148253068929</v>
      </c>
      <c r="U263" s="13">
        <f t="shared" si="53"/>
        <v>2.897069872276484</v>
      </c>
      <c r="V263" s="13">
        <f t="shared" si="54"/>
        <v>13.364484351339845</v>
      </c>
      <c r="W263" s="12">
        <f t="shared" si="55"/>
        <v>4.3407830432156388E-2</v>
      </c>
      <c r="X263" s="12">
        <f t="shared" si="56"/>
        <v>0.68231441048034935</v>
      </c>
      <c r="Y263" s="13">
        <f t="shared" si="57"/>
        <v>1.343403974481191</v>
      </c>
      <c r="Z263" s="13">
        <f t="shared" si="58"/>
        <v>22.814621187172492</v>
      </c>
      <c r="AA263" s="13">
        <f t="shared" si="59"/>
        <v>1367164179.1044776</v>
      </c>
    </row>
    <row r="264" spans="1:27" x14ac:dyDescent="0.25">
      <c r="A264" s="10" t="s">
        <v>323</v>
      </c>
      <c r="B264" s="11">
        <v>1946000000</v>
      </c>
      <c r="C264" s="11">
        <v>7693000000</v>
      </c>
      <c r="D264" s="11"/>
      <c r="E264" s="11"/>
      <c r="F264" s="11"/>
      <c r="G264" s="11">
        <v>2177000000</v>
      </c>
      <c r="H264" s="11">
        <v>19495000000</v>
      </c>
      <c r="I264" s="11">
        <v>188663000000</v>
      </c>
      <c r="J264" s="11">
        <v>10877000000</v>
      </c>
      <c r="K264" s="11"/>
      <c r="L264" s="11">
        <v>24933416088.150002</v>
      </c>
      <c r="M264" s="11">
        <v>1048000000</v>
      </c>
      <c r="N264" s="11">
        <v>1.78</v>
      </c>
      <c r="O264" s="11">
        <v>1094368000</v>
      </c>
      <c r="P264" s="12">
        <f t="shared" si="48"/>
        <v>9.9820466786355477E-2</v>
      </c>
      <c r="Q264" s="12">
        <f t="shared" si="49"/>
        <v>1.0314688094644949E-2</v>
      </c>
      <c r="R264" s="12">
        <f t="shared" si="50"/>
        <v>0.25295723384895358</v>
      </c>
      <c r="S264" s="12">
        <f t="shared" si="51"/>
        <v>0</v>
      </c>
      <c r="T264" s="12">
        <f t="shared" si="52"/>
        <v>0</v>
      </c>
      <c r="U264" s="13" t="str">
        <f t="shared" si="53"/>
        <v/>
      </c>
      <c r="V264" s="13" t="str">
        <f t="shared" si="54"/>
        <v/>
      </c>
      <c r="W264" s="12">
        <f t="shared" si="55"/>
        <v>7.1677861187936259E-2</v>
      </c>
      <c r="X264" s="12">
        <f t="shared" si="56"/>
        <v>0.53854059609455296</v>
      </c>
      <c r="Y264" s="13">
        <f t="shared" si="57"/>
        <v>1.7781952688675107</v>
      </c>
      <c r="Z264" s="13">
        <f t="shared" si="58"/>
        <v>12.812649582810895</v>
      </c>
      <c r="AA264" s="13">
        <f t="shared" si="59"/>
        <v>1093258426.9662921</v>
      </c>
    </row>
    <row r="265" spans="1:27" x14ac:dyDescent="0.25">
      <c r="A265" s="10" t="s">
        <v>324</v>
      </c>
      <c r="B265" s="11">
        <v>1054000000</v>
      </c>
      <c r="C265" s="11">
        <v>6088000000</v>
      </c>
      <c r="D265" s="11"/>
      <c r="E265" s="11">
        <v>1106000000</v>
      </c>
      <c r="F265" s="11">
        <v>1250000000</v>
      </c>
      <c r="G265" s="11">
        <v>1357000000</v>
      </c>
      <c r="H265" s="11">
        <v>5904000000</v>
      </c>
      <c r="I265" s="11">
        <v>11738000000</v>
      </c>
      <c r="J265" s="11">
        <v>2531000000</v>
      </c>
      <c r="K265" s="11"/>
      <c r="L265" s="11">
        <v>55057363003.300003</v>
      </c>
      <c r="M265" s="11"/>
      <c r="N265" s="11">
        <v>6.09</v>
      </c>
      <c r="O265" s="11">
        <v>173000000</v>
      </c>
      <c r="P265" s="12">
        <f t="shared" si="48"/>
        <v>0.17852303523035232</v>
      </c>
      <c r="Q265" s="12">
        <f t="shared" si="49"/>
        <v>8.97938319986369E-2</v>
      </c>
      <c r="R265" s="12">
        <f t="shared" si="50"/>
        <v>0.17312746386333772</v>
      </c>
      <c r="S265" s="12">
        <f t="shared" si="51"/>
        <v>0.18166885676741129</v>
      </c>
      <c r="T265" s="12">
        <f t="shared" si="52"/>
        <v>0</v>
      </c>
      <c r="U265" s="13">
        <f t="shared" si="53"/>
        <v>2.0247999999999999</v>
      </c>
      <c r="V265" s="13">
        <f t="shared" si="54"/>
        <v>46.070690402640004</v>
      </c>
      <c r="W265" s="12">
        <f t="shared" si="55"/>
        <v>0.16087729697688205</v>
      </c>
      <c r="X265" s="12">
        <f t="shared" si="56"/>
        <v>0</v>
      </c>
      <c r="Y265" s="13">
        <f t="shared" si="57"/>
        <v>6.0924855491329479</v>
      </c>
      <c r="Z265" s="13">
        <f t="shared" si="58"/>
        <v>52.236587289658445</v>
      </c>
      <c r="AA265" s="13">
        <f t="shared" si="59"/>
        <v>173070607.55336618</v>
      </c>
    </row>
    <row r="266" spans="1:27" x14ac:dyDescent="0.25">
      <c r="A266" s="10" t="s">
        <v>325</v>
      </c>
      <c r="B266" s="11">
        <v>-5760000000</v>
      </c>
      <c r="C266" s="11"/>
      <c r="D266" s="11"/>
      <c r="E266" s="11"/>
      <c r="F266" s="11">
        <v>-3738000000</v>
      </c>
      <c r="G266" s="11">
        <v>3945000000</v>
      </c>
      <c r="H266" s="11">
        <v>45691500000</v>
      </c>
      <c r="I266" s="11">
        <v>82046000000</v>
      </c>
      <c r="J266" s="11"/>
      <c r="K266" s="11"/>
      <c r="L266" s="11">
        <v>29264992467.709999</v>
      </c>
      <c r="M266" s="11"/>
      <c r="N266" s="11">
        <v>-4.8499999999999996</v>
      </c>
      <c r="O266" s="11">
        <v>1188000000</v>
      </c>
      <c r="P266" s="12">
        <f t="shared" si="48"/>
        <v>-0.1260628344440432</v>
      </c>
      <c r="Q266" s="12">
        <f t="shared" si="49"/>
        <v>-7.0204519415937403E-2</v>
      </c>
      <c r="R266" s="12" t="str">
        <f t="shared" si="50"/>
        <v/>
      </c>
      <c r="S266" s="12" t="str">
        <f t="shared" si="51"/>
        <v/>
      </c>
      <c r="T266" s="12" t="str">
        <f t="shared" si="52"/>
        <v/>
      </c>
      <c r="U266" s="13">
        <f t="shared" si="53"/>
        <v>0</v>
      </c>
      <c r="V266" s="13">
        <f t="shared" si="54"/>
        <v>-7.8290509544435523</v>
      </c>
      <c r="W266" s="12">
        <f t="shared" si="55"/>
        <v>8.6339910048915003E-2</v>
      </c>
      <c r="X266" s="12">
        <f t="shared" si="56"/>
        <v>0</v>
      </c>
      <c r="Y266" s="13">
        <f t="shared" si="57"/>
        <v>-4.8484848484848486</v>
      </c>
      <c r="Z266" s="13">
        <f t="shared" si="58"/>
        <v>-5.0807278589774301</v>
      </c>
      <c r="AA266" s="13">
        <f t="shared" si="59"/>
        <v>1187628865.9793816</v>
      </c>
    </row>
    <row r="267" spans="1:27" x14ac:dyDescent="0.25">
      <c r="A267" s="10" t="s">
        <v>326</v>
      </c>
      <c r="B267" s="11">
        <v>616822000</v>
      </c>
      <c r="C267" s="11">
        <v>2161508000</v>
      </c>
      <c r="D267" s="11"/>
      <c r="E267" s="11">
        <v>798111000</v>
      </c>
      <c r="F267" s="11">
        <v>1423244000</v>
      </c>
      <c r="G267" s="11">
        <v>1120788000</v>
      </c>
      <c r="H267" s="11">
        <v>10488591000</v>
      </c>
      <c r="I267" s="11">
        <v>19585446000</v>
      </c>
      <c r="J267" s="11">
        <v>7718700000</v>
      </c>
      <c r="K267" s="11"/>
      <c r="L267" s="11">
        <v>16812537720.370001</v>
      </c>
      <c r="M267" s="11">
        <v>657460000</v>
      </c>
      <c r="N267" s="11">
        <v>0.92</v>
      </c>
      <c r="O267" s="11">
        <v>672771000</v>
      </c>
      <c r="P267" s="12">
        <f t="shared" si="48"/>
        <v>5.880885239971699E-2</v>
      </c>
      <c r="Q267" s="12">
        <f t="shared" si="49"/>
        <v>3.1493896028714385E-2</v>
      </c>
      <c r="R267" s="12">
        <f t="shared" si="50"/>
        <v>0.28536651263839874</v>
      </c>
      <c r="S267" s="12">
        <f t="shared" si="51"/>
        <v>0.36923805047217034</v>
      </c>
      <c r="T267" s="12">
        <f t="shared" si="52"/>
        <v>0</v>
      </c>
      <c r="U267" s="13">
        <f t="shared" si="53"/>
        <v>5.4233146248991737</v>
      </c>
      <c r="V267" s="13">
        <f t="shared" si="54"/>
        <v>17.236143430339425</v>
      </c>
      <c r="W267" s="12">
        <f t="shared" si="55"/>
        <v>6.1557098197639618E-2</v>
      </c>
      <c r="X267" s="12">
        <f t="shared" si="56"/>
        <v>1.0658828641001781</v>
      </c>
      <c r="Y267" s="13">
        <f t="shared" si="57"/>
        <v>0.91683797309931614</v>
      </c>
      <c r="Z267" s="13">
        <f t="shared" si="58"/>
        <v>27.256708937700019</v>
      </c>
      <c r="AA267" s="13">
        <f t="shared" si="59"/>
        <v>670458695.65217388</v>
      </c>
    </row>
    <row r="268" spans="1:27" x14ac:dyDescent="0.25">
      <c r="A268" s="10" t="s">
        <v>327</v>
      </c>
      <c r="B268" s="11">
        <v>2961616000</v>
      </c>
      <c r="C268" s="11">
        <v>20672107000</v>
      </c>
      <c r="D268" s="11"/>
      <c r="E268" s="11"/>
      <c r="F268" s="11"/>
      <c r="G268" s="11"/>
      <c r="H268" s="11">
        <v>28983070000</v>
      </c>
      <c r="I268" s="11">
        <v>412084513000</v>
      </c>
      <c r="J268" s="11">
        <v>36914472000</v>
      </c>
      <c r="K268" s="11"/>
      <c r="L268" s="11">
        <v>86438225015.970001</v>
      </c>
      <c r="M268" s="11">
        <v>659308000</v>
      </c>
      <c r="N268" s="11"/>
      <c r="O268" s="11"/>
      <c r="P268" s="12">
        <f t="shared" si="48"/>
        <v>0.10218434417057959</v>
      </c>
      <c r="Q268" s="12">
        <f t="shared" si="49"/>
        <v>7.1869141075922936E-3</v>
      </c>
      <c r="R268" s="12">
        <f t="shared" si="50"/>
        <v>0.14326628630550337</v>
      </c>
      <c r="S268" s="12">
        <f t="shared" si="51"/>
        <v>0</v>
      </c>
      <c r="T268" s="12">
        <f t="shared" si="52"/>
        <v>0</v>
      </c>
      <c r="U268" s="13" t="str">
        <f t="shared" si="53"/>
        <v/>
      </c>
      <c r="V268" s="13" t="str">
        <f t="shared" si="54"/>
        <v/>
      </c>
      <c r="W268" s="12">
        <f t="shared" si="55"/>
        <v>0</v>
      </c>
      <c r="X268" s="12">
        <f t="shared" si="56"/>
        <v>0.22261765198459219</v>
      </c>
      <c r="Y268" s="13" t="str">
        <f t="shared" si="57"/>
        <v/>
      </c>
      <c r="Z268" s="13">
        <f t="shared" si="58"/>
        <v>29.18616897530605</v>
      </c>
      <c r="AA268" s="13" t="str">
        <f t="shared" si="59"/>
        <v/>
      </c>
    </row>
    <row r="269" spans="1:27" x14ac:dyDescent="0.25">
      <c r="A269" s="10" t="s">
        <v>328</v>
      </c>
      <c r="B269" s="11">
        <v>4670561000</v>
      </c>
      <c r="C269" s="11">
        <v>13096661000</v>
      </c>
      <c r="D269" s="11">
        <v>4146569000</v>
      </c>
      <c r="E269" s="11"/>
      <c r="F269" s="11"/>
      <c r="G269" s="11">
        <v>4014575000</v>
      </c>
      <c r="H269" s="11">
        <v>4917617000</v>
      </c>
      <c r="I269" s="11">
        <v>16873515000</v>
      </c>
      <c r="J269" s="11">
        <v>5887063000</v>
      </c>
      <c r="K269" s="11"/>
      <c r="L269" s="11">
        <v>299816291780.21002</v>
      </c>
      <c r="M269" s="11">
        <v>1006463000</v>
      </c>
      <c r="N269" s="11">
        <v>35.36</v>
      </c>
      <c r="O269" s="11">
        <v>132073000</v>
      </c>
      <c r="P269" s="12">
        <f t="shared" si="48"/>
        <v>0.94976103263023537</v>
      </c>
      <c r="Q269" s="12">
        <f t="shared" si="49"/>
        <v>0.27679834343940785</v>
      </c>
      <c r="R269" s="12">
        <f t="shared" si="50"/>
        <v>0.35662227189052231</v>
      </c>
      <c r="S269" s="12">
        <f t="shared" si="51"/>
        <v>0</v>
      </c>
      <c r="T269" s="12">
        <f t="shared" si="52"/>
        <v>0.31661268471406567</v>
      </c>
      <c r="U269" s="13" t="str">
        <f t="shared" si="53"/>
        <v/>
      </c>
      <c r="V269" s="13" t="str">
        <f t="shared" si="54"/>
        <v/>
      </c>
      <c r="W269" s="12">
        <f t="shared" si="55"/>
        <v>0.37155889855136848</v>
      </c>
      <c r="X269" s="12">
        <f t="shared" si="56"/>
        <v>0.21549081577138163</v>
      </c>
      <c r="Y269" s="13">
        <f t="shared" si="57"/>
        <v>35.363480802283583</v>
      </c>
      <c r="Z269" s="13">
        <f t="shared" si="58"/>
        <v>64.192779364236983</v>
      </c>
      <c r="AA269" s="13">
        <f t="shared" si="59"/>
        <v>132086001.13122173</v>
      </c>
    </row>
    <row r="270" spans="1:27" x14ac:dyDescent="0.25">
      <c r="A270" s="10" t="s">
        <v>329</v>
      </c>
      <c r="B270" s="11">
        <v>2119000000</v>
      </c>
      <c r="C270" s="11">
        <v>15770000000</v>
      </c>
      <c r="D270" s="11">
        <v>5724000000</v>
      </c>
      <c r="E270" s="11">
        <v>2335000000</v>
      </c>
      <c r="F270" s="11">
        <v>3115000000</v>
      </c>
      <c r="G270" s="11">
        <v>1837000000</v>
      </c>
      <c r="H270" s="11">
        <v>1448500000</v>
      </c>
      <c r="I270" s="11">
        <v>17184000000</v>
      </c>
      <c r="J270" s="11"/>
      <c r="K270" s="11"/>
      <c r="L270" s="11">
        <v>36488625281.300003</v>
      </c>
      <c r="M270" s="11">
        <v>1673000000</v>
      </c>
      <c r="N270" s="11">
        <v>6.36</v>
      </c>
      <c r="O270" s="11">
        <v>333200000</v>
      </c>
      <c r="P270" s="12">
        <f t="shared" si="48"/>
        <v>1.4628926475664481</v>
      </c>
      <c r="Q270" s="12">
        <f t="shared" si="49"/>
        <v>0.12331238361266295</v>
      </c>
      <c r="R270" s="12">
        <f t="shared" si="50"/>
        <v>0.1343690551680406</v>
      </c>
      <c r="S270" s="12">
        <f t="shared" si="51"/>
        <v>0.14806594800253647</v>
      </c>
      <c r="T270" s="12">
        <f t="shared" si="52"/>
        <v>0.36296766011414078</v>
      </c>
      <c r="U270" s="13">
        <f t="shared" si="53"/>
        <v>0</v>
      </c>
      <c r="V270" s="13">
        <f t="shared" si="54"/>
        <v>11.713844392070627</v>
      </c>
      <c r="W270" s="12">
        <f t="shared" si="55"/>
        <v>1.2682084915429754</v>
      </c>
      <c r="X270" s="12">
        <f t="shared" si="56"/>
        <v>0.78952336007550727</v>
      </c>
      <c r="Y270" s="13">
        <f t="shared" si="57"/>
        <v>6.3595438175270109</v>
      </c>
      <c r="Z270" s="13">
        <f t="shared" si="58"/>
        <v>17.219738216753186</v>
      </c>
      <c r="AA270" s="13">
        <f t="shared" si="59"/>
        <v>333176100.62893081</v>
      </c>
    </row>
    <row r="271" spans="1:27" x14ac:dyDescent="0.25">
      <c r="A271" s="10" t="s">
        <v>330</v>
      </c>
      <c r="B271" s="11">
        <v>3315000000</v>
      </c>
      <c r="C271" s="11">
        <v>17524000000</v>
      </c>
      <c r="D271" s="11"/>
      <c r="E271" s="11">
        <v>5023000000</v>
      </c>
      <c r="F271" s="11">
        <v>7499000000</v>
      </c>
      <c r="G271" s="11">
        <v>3182000000</v>
      </c>
      <c r="H271" s="11">
        <v>30963500000</v>
      </c>
      <c r="I271" s="11">
        <v>73072000000</v>
      </c>
      <c r="J271" s="11">
        <v>29870000000</v>
      </c>
      <c r="K271" s="11"/>
      <c r="L271" s="11">
        <v>72084357921.610001</v>
      </c>
      <c r="M271" s="11">
        <v>2616000000</v>
      </c>
      <c r="N271" s="11">
        <v>1.49</v>
      </c>
      <c r="O271" s="11">
        <v>2225000000</v>
      </c>
      <c r="P271" s="12">
        <f t="shared" si="48"/>
        <v>0.10706154020055872</v>
      </c>
      <c r="Q271" s="12">
        <f t="shared" si="49"/>
        <v>4.5366214144952927E-2</v>
      </c>
      <c r="R271" s="12">
        <f t="shared" si="50"/>
        <v>0.18916913946587538</v>
      </c>
      <c r="S271" s="12">
        <f t="shared" si="51"/>
        <v>0.28663547135357226</v>
      </c>
      <c r="T271" s="12">
        <f t="shared" si="52"/>
        <v>0</v>
      </c>
      <c r="U271" s="13">
        <f t="shared" si="53"/>
        <v>3.9831977597012935</v>
      </c>
      <c r="V271" s="13">
        <f t="shared" si="54"/>
        <v>13.595727153168422</v>
      </c>
      <c r="W271" s="12">
        <f t="shared" si="55"/>
        <v>5.230670600902463E-2</v>
      </c>
      <c r="X271" s="12">
        <f t="shared" si="56"/>
        <v>0.78914027149321264</v>
      </c>
      <c r="Y271" s="13">
        <f t="shared" si="57"/>
        <v>1.4898876404494381</v>
      </c>
      <c r="Z271" s="13">
        <f t="shared" si="58"/>
        <v>21.744904350410255</v>
      </c>
      <c r="AA271" s="13">
        <f t="shared" si="59"/>
        <v>2224832214.7651005</v>
      </c>
    </row>
    <row r="272" spans="1:27" x14ac:dyDescent="0.25">
      <c r="A272" s="10" t="s">
        <v>331</v>
      </c>
      <c r="B272" s="11">
        <v>13701000000</v>
      </c>
      <c r="C272" s="11">
        <v>49284000000</v>
      </c>
      <c r="D272" s="11">
        <v>30430000000</v>
      </c>
      <c r="E272" s="11">
        <v>14462000000</v>
      </c>
      <c r="F272" s="11">
        <v>15509000000</v>
      </c>
      <c r="G272" s="11">
        <v>12562000000</v>
      </c>
      <c r="H272" s="11">
        <v>29917500000</v>
      </c>
      <c r="I272" s="11">
        <v>104217000000</v>
      </c>
      <c r="J272" s="11">
        <v>36496000000</v>
      </c>
      <c r="K272" s="11"/>
      <c r="L272" s="11">
        <v>355514110382.21997</v>
      </c>
      <c r="M272" s="11">
        <v>10971000000</v>
      </c>
      <c r="N272" s="11">
        <v>3.18</v>
      </c>
      <c r="O272" s="11">
        <v>4314000000</v>
      </c>
      <c r="P272" s="12">
        <f t="shared" si="48"/>
        <v>0.45795938831787414</v>
      </c>
      <c r="Q272" s="12">
        <f t="shared" si="49"/>
        <v>0.1314660755922738</v>
      </c>
      <c r="R272" s="12">
        <f t="shared" si="50"/>
        <v>0.27800097394691992</v>
      </c>
      <c r="S272" s="12">
        <f t="shared" si="51"/>
        <v>0.29344209073938804</v>
      </c>
      <c r="T272" s="12">
        <f t="shared" si="52"/>
        <v>0.61744176609041479</v>
      </c>
      <c r="U272" s="13">
        <f t="shared" si="53"/>
        <v>2.3532142626861821</v>
      </c>
      <c r="V272" s="13">
        <f t="shared" si="54"/>
        <v>25.276298303064024</v>
      </c>
      <c r="W272" s="12">
        <f t="shared" si="55"/>
        <v>0.18914829063368141</v>
      </c>
      <c r="X272" s="12">
        <f t="shared" si="56"/>
        <v>0.80074447120648129</v>
      </c>
      <c r="Y272" s="13">
        <f t="shared" si="57"/>
        <v>3.1759388038942977</v>
      </c>
      <c r="Z272" s="13">
        <f t="shared" si="58"/>
        <v>25.948041046800963</v>
      </c>
      <c r="AA272" s="13">
        <f t="shared" si="59"/>
        <v>4308490566.0377359</v>
      </c>
    </row>
    <row r="273" spans="1:27" x14ac:dyDescent="0.25">
      <c r="A273" s="10" t="s">
        <v>332</v>
      </c>
      <c r="B273" s="11">
        <v>1053000000</v>
      </c>
      <c r="C273" s="11">
        <v>148645000000</v>
      </c>
      <c r="D273" s="11"/>
      <c r="E273" s="11">
        <v>1975000000</v>
      </c>
      <c r="F273" s="11">
        <v>5245000000</v>
      </c>
      <c r="G273" s="11">
        <v>2832000000</v>
      </c>
      <c r="H273" s="11">
        <v>7692500000</v>
      </c>
      <c r="I273" s="11">
        <v>50292000000</v>
      </c>
      <c r="J273" s="11">
        <v>15378000000</v>
      </c>
      <c r="K273" s="11"/>
      <c r="L273" s="11">
        <v>36673066674.449997</v>
      </c>
      <c r="M273" s="11">
        <v>889000000</v>
      </c>
      <c r="N273" s="11">
        <v>1.71</v>
      </c>
      <c r="O273" s="11">
        <v>615000000</v>
      </c>
      <c r="P273" s="12">
        <f t="shared" si="48"/>
        <v>0.13688657783555411</v>
      </c>
      <c r="Q273" s="12">
        <f t="shared" si="49"/>
        <v>2.0937723693629205E-2</v>
      </c>
      <c r="R273" s="12">
        <f t="shared" si="50"/>
        <v>7.0839920616233305E-3</v>
      </c>
      <c r="S273" s="12">
        <f t="shared" si="51"/>
        <v>1.3286689764203304E-2</v>
      </c>
      <c r="T273" s="12">
        <f t="shared" si="52"/>
        <v>0</v>
      </c>
      <c r="U273" s="13">
        <f t="shared" si="53"/>
        <v>2.9319351763584365</v>
      </c>
      <c r="V273" s="13">
        <f t="shared" si="54"/>
        <v>9.9239402620495696</v>
      </c>
      <c r="W273" s="12">
        <f t="shared" si="55"/>
        <v>0.12275416657636376</v>
      </c>
      <c r="X273" s="12">
        <f t="shared" si="56"/>
        <v>0.84425451092117754</v>
      </c>
      <c r="Y273" s="13">
        <f t="shared" si="57"/>
        <v>1.7121951219512195</v>
      </c>
      <c r="Z273" s="13">
        <f t="shared" si="58"/>
        <v>34.827223812393157</v>
      </c>
      <c r="AA273" s="13">
        <f t="shared" si="59"/>
        <v>615789473.68421054</v>
      </c>
    </row>
    <row r="274" spans="1:27" x14ac:dyDescent="0.25">
      <c r="A274" s="10" t="s">
        <v>333</v>
      </c>
      <c r="B274" s="11">
        <v>1622000000</v>
      </c>
      <c r="C274" s="11">
        <v>15292000000</v>
      </c>
      <c r="D274" s="11">
        <v>8926000000</v>
      </c>
      <c r="E274" s="11">
        <v>2623000000</v>
      </c>
      <c r="F274" s="11">
        <v>3187000000</v>
      </c>
      <c r="G274" s="11">
        <v>1823000000</v>
      </c>
      <c r="H274" s="11">
        <v>10330500000</v>
      </c>
      <c r="I274" s="11">
        <v>26854000000</v>
      </c>
      <c r="J274" s="11">
        <v>7687000000</v>
      </c>
      <c r="K274" s="11"/>
      <c r="L274" s="11">
        <v>36825766838.18</v>
      </c>
      <c r="M274" s="11">
        <v>1587000000</v>
      </c>
      <c r="N274" s="11">
        <v>0.84</v>
      </c>
      <c r="O274" s="11">
        <v>1922000000</v>
      </c>
      <c r="P274" s="12">
        <f t="shared" si="48"/>
        <v>0.15701079328202894</v>
      </c>
      <c r="Q274" s="12">
        <f t="shared" si="49"/>
        <v>6.0400685186564385E-2</v>
      </c>
      <c r="R274" s="12">
        <f t="shared" si="50"/>
        <v>0.1060685325660476</v>
      </c>
      <c r="S274" s="12">
        <f t="shared" si="51"/>
        <v>0.17152759612869475</v>
      </c>
      <c r="T274" s="12">
        <f t="shared" si="52"/>
        <v>0.58370389746272566</v>
      </c>
      <c r="U274" s="13">
        <f t="shared" si="53"/>
        <v>2.4119861939127705</v>
      </c>
      <c r="V274" s="13">
        <f t="shared" si="54"/>
        <v>13.966980495192972</v>
      </c>
      <c r="W274" s="12">
        <f t="shared" si="55"/>
        <v>0.1011794089080061</v>
      </c>
      <c r="X274" s="12">
        <f t="shared" si="56"/>
        <v>0.97842170160295927</v>
      </c>
      <c r="Y274" s="13">
        <f t="shared" si="57"/>
        <v>0.84391259105098859</v>
      </c>
      <c r="Z274" s="13">
        <f t="shared" si="58"/>
        <v>22.703925300974106</v>
      </c>
      <c r="AA274" s="13">
        <f t="shared" si="59"/>
        <v>1930952380.9523811</v>
      </c>
    </row>
    <row r="275" spans="1:27" x14ac:dyDescent="0.25">
      <c r="A275" s="10" t="s">
        <v>334</v>
      </c>
      <c r="B275" s="11">
        <v>1634000000</v>
      </c>
      <c r="C275" s="11">
        <v>18515000000</v>
      </c>
      <c r="D275" s="11"/>
      <c r="E275" s="11"/>
      <c r="F275" s="11"/>
      <c r="G275" s="11">
        <v>1930000000</v>
      </c>
      <c r="H275" s="11">
        <v>17947500000</v>
      </c>
      <c r="I275" s="11">
        <v>85652000000</v>
      </c>
      <c r="J275" s="11">
        <v>8925000000</v>
      </c>
      <c r="K275" s="11"/>
      <c r="L275" s="11">
        <v>23694286039.93</v>
      </c>
      <c r="M275" s="11">
        <v>52000000</v>
      </c>
      <c r="N275" s="11">
        <v>7.92</v>
      </c>
      <c r="O275" s="11">
        <v>206270000</v>
      </c>
      <c r="P275" s="12">
        <f t="shared" si="48"/>
        <v>9.1043320796768357E-2</v>
      </c>
      <c r="Q275" s="12">
        <f t="shared" si="49"/>
        <v>1.9077196095829637E-2</v>
      </c>
      <c r="R275" s="12">
        <f t="shared" si="50"/>
        <v>8.8252768025924924E-2</v>
      </c>
      <c r="S275" s="12">
        <f t="shared" si="51"/>
        <v>0</v>
      </c>
      <c r="T275" s="12">
        <f t="shared" si="52"/>
        <v>0</v>
      </c>
      <c r="U275" s="13" t="str">
        <f t="shared" si="53"/>
        <v/>
      </c>
      <c r="V275" s="13" t="str">
        <f t="shared" si="54"/>
        <v/>
      </c>
      <c r="W275" s="12">
        <f t="shared" si="55"/>
        <v>7.1820634477625822E-2</v>
      </c>
      <c r="X275" s="12">
        <f t="shared" si="56"/>
        <v>3.182374541003672E-2</v>
      </c>
      <c r="Y275" s="13">
        <f t="shared" si="57"/>
        <v>7.921656081834489</v>
      </c>
      <c r="Z275" s="13">
        <f t="shared" si="58"/>
        <v>14.50078705014076</v>
      </c>
      <c r="AA275" s="13">
        <f t="shared" si="59"/>
        <v>206313131.3131313</v>
      </c>
    </row>
    <row r="276" spans="1:27" x14ac:dyDescent="0.25">
      <c r="A276" s="10" t="s">
        <v>335</v>
      </c>
      <c r="B276" s="11">
        <v>1413000000</v>
      </c>
      <c r="C276" s="11">
        <v>17329000000</v>
      </c>
      <c r="D276" s="11"/>
      <c r="E276" s="11">
        <v>2087000000</v>
      </c>
      <c r="F276" s="11">
        <v>2380000000</v>
      </c>
      <c r="G276" s="11">
        <v>1859000000</v>
      </c>
      <c r="H276" s="11">
        <v>4635000000</v>
      </c>
      <c r="I276" s="11">
        <v>15387000000</v>
      </c>
      <c r="J276" s="11"/>
      <c r="K276" s="11"/>
      <c r="L276" s="11">
        <v>13411246730.4</v>
      </c>
      <c r="M276" s="11"/>
      <c r="N276" s="11">
        <v>11.04</v>
      </c>
      <c r="O276" s="11">
        <v>128000000</v>
      </c>
      <c r="P276" s="12">
        <f t="shared" si="48"/>
        <v>0.30485436893203882</v>
      </c>
      <c r="Q276" s="12">
        <f t="shared" si="49"/>
        <v>9.1830766231234165E-2</v>
      </c>
      <c r="R276" s="12">
        <f t="shared" si="50"/>
        <v>8.153961567314906E-2</v>
      </c>
      <c r="S276" s="12">
        <f t="shared" si="51"/>
        <v>0.12043395464250678</v>
      </c>
      <c r="T276" s="12">
        <f t="shared" si="52"/>
        <v>0</v>
      </c>
      <c r="U276" s="13">
        <f t="shared" si="53"/>
        <v>0</v>
      </c>
      <c r="V276" s="13">
        <f t="shared" si="54"/>
        <v>5.6349776178151263</v>
      </c>
      <c r="W276" s="12">
        <f t="shared" si="55"/>
        <v>0.40107874865156418</v>
      </c>
      <c r="X276" s="12">
        <f t="shared" si="56"/>
        <v>0</v>
      </c>
      <c r="Y276" s="13">
        <f t="shared" si="57"/>
        <v>11.0390625</v>
      </c>
      <c r="Z276" s="13">
        <f t="shared" si="58"/>
        <v>9.4913281885350322</v>
      </c>
      <c r="AA276" s="13">
        <f t="shared" si="59"/>
        <v>127989130.43478262</v>
      </c>
    </row>
    <row r="277" spans="1:27" x14ac:dyDescent="0.25">
      <c r="A277" s="10" t="s">
        <v>336</v>
      </c>
      <c r="B277" s="11">
        <v>1615359000</v>
      </c>
      <c r="C277" s="11">
        <v>32737235000</v>
      </c>
      <c r="D277" s="11"/>
      <c r="E277" s="11">
        <v>5836554000</v>
      </c>
      <c r="F277" s="11"/>
      <c r="G277" s="11">
        <v>716773000</v>
      </c>
      <c r="H277" s="11">
        <v>22099859000</v>
      </c>
      <c r="I277" s="11">
        <v>33701455000</v>
      </c>
      <c r="J277" s="11">
        <v>5874995000</v>
      </c>
      <c r="K277" s="11"/>
      <c r="L277" s="11">
        <v>20319504860.119999</v>
      </c>
      <c r="M277" s="11">
        <v>502261000</v>
      </c>
      <c r="N277" s="11">
        <v>6.66</v>
      </c>
      <c r="O277" s="11">
        <v>242607000</v>
      </c>
      <c r="P277" s="12">
        <f t="shared" si="48"/>
        <v>7.3093633764812704E-2</v>
      </c>
      <c r="Q277" s="12">
        <f t="shared" si="49"/>
        <v>4.7931432040545431E-2</v>
      </c>
      <c r="R277" s="12">
        <f t="shared" si="50"/>
        <v>4.9343171468207381E-2</v>
      </c>
      <c r="S277" s="12">
        <f t="shared" si="51"/>
        <v>0.17828487958741782</v>
      </c>
      <c r="T277" s="12">
        <f t="shared" si="52"/>
        <v>0</v>
      </c>
      <c r="U277" s="13" t="str">
        <f t="shared" si="53"/>
        <v/>
      </c>
      <c r="V277" s="13" t="str">
        <f t="shared" si="54"/>
        <v/>
      </c>
      <c r="W277" s="12">
        <f t="shared" si="55"/>
        <v>2.5622046141867263E-2</v>
      </c>
      <c r="X277" s="12">
        <f t="shared" si="56"/>
        <v>0.3109284066266384</v>
      </c>
      <c r="Y277" s="13">
        <f t="shared" si="57"/>
        <v>6.6583363217054741</v>
      </c>
      <c r="Z277" s="13">
        <f t="shared" si="58"/>
        <v>12.578940569941418</v>
      </c>
      <c r="AA277" s="13">
        <f t="shared" si="59"/>
        <v>242546396.3963964</v>
      </c>
    </row>
    <row r="278" spans="1:27" x14ac:dyDescent="0.25">
      <c r="A278" s="10" t="s">
        <v>337</v>
      </c>
      <c r="B278" s="11">
        <v>941500000</v>
      </c>
      <c r="C278" s="11">
        <v>14144200000</v>
      </c>
      <c r="D278" s="11">
        <v>4078300000</v>
      </c>
      <c r="E278" s="11">
        <v>1439500000</v>
      </c>
      <c r="F278" s="11">
        <v>2127100000</v>
      </c>
      <c r="G278" s="11">
        <v>1384000000</v>
      </c>
      <c r="H278" s="11">
        <v>8518000000</v>
      </c>
      <c r="I278" s="11">
        <v>19087100000</v>
      </c>
      <c r="J278" s="11">
        <v>5833700000</v>
      </c>
      <c r="K278" s="11"/>
      <c r="L278" s="11">
        <v>22765660400.389999</v>
      </c>
      <c r="M278" s="11">
        <v>240300000</v>
      </c>
      <c r="N278" s="11">
        <v>11.36</v>
      </c>
      <c r="O278" s="11">
        <v>82900000</v>
      </c>
      <c r="P278" s="12">
        <f t="shared" si="48"/>
        <v>0.11053064099553886</v>
      </c>
      <c r="Q278" s="12">
        <f t="shared" si="49"/>
        <v>4.9326508479549017E-2</v>
      </c>
      <c r="R278" s="12">
        <f t="shared" si="50"/>
        <v>6.6564386815797294E-2</v>
      </c>
      <c r="S278" s="12">
        <f t="shared" si="51"/>
        <v>0.10177316497221477</v>
      </c>
      <c r="T278" s="12">
        <f t="shared" si="52"/>
        <v>0.28833726898658107</v>
      </c>
      <c r="U278" s="13">
        <f t="shared" si="53"/>
        <v>2.7425602933571529</v>
      </c>
      <c r="V278" s="13">
        <f t="shared" si="54"/>
        <v>13.445235485115886</v>
      </c>
      <c r="W278" s="12">
        <f t="shared" si="55"/>
        <v>9.6434568727049752E-2</v>
      </c>
      <c r="X278" s="12">
        <f t="shared" si="56"/>
        <v>0.25523101433882101</v>
      </c>
      <c r="Y278" s="13">
        <f t="shared" si="57"/>
        <v>11.357056694813028</v>
      </c>
      <c r="Z278" s="13">
        <f t="shared" si="58"/>
        <v>24.180202230897503</v>
      </c>
      <c r="AA278" s="13">
        <f t="shared" si="59"/>
        <v>82878521.126760572</v>
      </c>
    </row>
    <row r="279" spans="1:27" x14ac:dyDescent="0.25">
      <c r="A279" s="10" t="s">
        <v>338</v>
      </c>
      <c r="B279" s="11">
        <v>1732000000</v>
      </c>
      <c r="C279" s="11">
        <v>38694000000</v>
      </c>
      <c r="D279" s="11"/>
      <c r="E279" s="11">
        <v>3954000000</v>
      </c>
      <c r="F279" s="11">
        <v>5159000000</v>
      </c>
      <c r="G279" s="11">
        <v>2589000000</v>
      </c>
      <c r="H279" s="11">
        <v>19405500000</v>
      </c>
      <c r="I279" s="11">
        <v>41380000000</v>
      </c>
      <c r="J279" s="11">
        <v>9191000000</v>
      </c>
      <c r="K279" s="11"/>
      <c r="L279" s="11">
        <v>54001316536.730003</v>
      </c>
      <c r="M279" s="11">
        <v>913000000</v>
      </c>
      <c r="N279" s="11">
        <v>9.2100000000000009</v>
      </c>
      <c r="O279" s="11">
        <v>188100000</v>
      </c>
      <c r="P279" s="12">
        <f t="shared" si="48"/>
        <v>8.925304681662416E-2</v>
      </c>
      <c r="Q279" s="12">
        <f t="shared" si="49"/>
        <v>4.1855969067182211E-2</v>
      </c>
      <c r="R279" s="12">
        <f t="shared" si="50"/>
        <v>4.4761461725332095E-2</v>
      </c>
      <c r="S279" s="12">
        <f t="shared" si="51"/>
        <v>0.10218638548612188</v>
      </c>
      <c r="T279" s="12">
        <f t="shared" si="52"/>
        <v>0</v>
      </c>
      <c r="U279" s="13">
        <f t="shared" si="53"/>
        <v>1.7815468113975577</v>
      </c>
      <c r="V279" s="13">
        <f t="shared" si="54"/>
        <v>12.248946799133554</v>
      </c>
      <c r="W279" s="12">
        <f t="shared" si="55"/>
        <v>9.0535555050443237E-2</v>
      </c>
      <c r="X279" s="12">
        <f t="shared" si="56"/>
        <v>0.52713625866050806</v>
      </c>
      <c r="Y279" s="13">
        <f t="shared" si="57"/>
        <v>9.2078681552365769</v>
      </c>
      <c r="Z279" s="13">
        <f t="shared" si="58"/>
        <v>31.178589224439957</v>
      </c>
      <c r="AA279" s="13">
        <f t="shared" si="59"/>
        <v>188056460.36916393</v>
      </c>
    </row>
    <row r="280" spans="1:27" x14ac:dyDescent="0.25">
      <c r="A280" s="10" t="s">
        <v>339</v>
      </c>
      <c r="B280" s="11">
        <v>802700000</v>
      </c>
      <c r="C280" s="11">
        <v>5257800000</v>
      </c>
      <c r="D280" s="11">
        <v>1757600000</v>
      </c>
      <c r="E280" s="11">
        <v>1049400000</v>
      </c>
      <c r="F280" s="11">
        <v>1165500000</v>
      </c>
      <c r="G280" s="11">
        <v>660700000</v>
      </c>
      <c r="H280" s="11">
        <v>1093800000</v>
      </c>
      <c r="I280" s="11">
        <v>4292700000</v>
      </c>
      <c r="J280" s="11"/>
      <c r="K280" s="11"/>
      <c r="L280" s="11">
        <v>18704982800</v>
      </c>
      <c r="M280" s="11">
        <v>177300000</v>
      </c>
      <c r="N280" s="11">
        <v>22.93</v>
      </c>
      <c r="O280" s="11">
        <v>35000000</v>
      </c>
      <c r="P280" s="12">
        <f t="shared" si="48"/>
        <v>0.73386359480709451</v>
      </c>
      <c r="Q280" s="12">
        <f t="shared" si="49"/>
        <v>0.18699186991869918</v>
      </c>
      <c r="R280" s="12">
        <f t="shared" si="50"/>
        <v>0.15266841644794402</v>
      </c>
      <c r="S280" s="12">
        <f t="shared" si="51"/>
        <v>0.19958918178705923</v>
      </c>
      <c r="T280" s="12">
        <f t="shared" si="52"/>
        <v>0.33428430141884441</v>
      </c>
      <c r="U280" s="13">
        <f t="shared" si="53"/>
        <v>0</v>
      </c>
      <c r="V280" s="13">
        <f t="shared" si="54"/>
        <v>16.048891291291291</v>
      </c>
      <c r="W280" s="12">
        <f t="shared" si="55"/>
        <v>0.60404095812762848</v>
      </c>
      <c r="X280" s="12">
        <f t="shared" si="56"/>
        <v>0.22087953158091442</v>
      </c>
      <c r="Y280" s="13">
        <f t="shared" si="57"/>
        <v>22.934285714285714</v>
      </c>
      <c r="Z280" s="13">
        <f t="shared" si="58"/>
        <v>23.302582284788837</v>
      </c>
      <c r="AA280" s="13">
        <f t="shared" si="59"/>
        <v>35006541.648495421</v>
      </c>
    </row>
    <row r="281" spans="1:27" x14ac:dyDescent="0.25">
      <c r="A281" s="10" t="s">
        <v>340</v>
      </c>
      <c r="B281" s="11">
        <v>7082000000</v>
      </c>
      <c r="C281" s="11">
        <v>34655000000</v>
      </c>
      <c r="D281" s="11"/>
      <c r="E281" s="11">
        <v>9178000000</v>
      </c>
      <c r="F281" s="11"/>
      <c r="G281" s="11">
        <v>5096000000</v>
      </c>
      <c r="H281" s="11">
        <v>38299000000</v>
      </c>
      <c r="I281" s="11">
        <v>86315000000</v>
      </c>
      <c r="J281" s="11">
        <v>21495000000</v>
      </c>
      <c r="K281" s="11"/>
      <c r="L281" s="11">
        <v>242991251114.82001</v>
      </c>
      <c r="M281" s="11">
        <v>2844000000</v>
      </c>
      <c r="N281" s="11">
        <v>15.19</v>
      </c>
      <c r="O281" s="11">
        <v>466319000</v>
      </c>
      <c r="P281" s="12">
        <f t="shared" si="48"/>
        <v>0.18491344421525366</v>
      </c>
      <c r="Q281" s="12">
        <f t="shared" si="49"/>
        <v>8.2048311417482478E-2</v>
      </c>
      <c r="R281" s="12">
        <f t="shared" si="50"/>
        <v>0.20435723560813734</v>
      </c>
      <c r="S281" s="12">
        <f t="shared" si="51"/>
        <v>0.26483912855287839</v>
      </c>
      <c r="T281" s="12">
        <f t="shared" si="52"/>
        <v>0</v>
      </c>
      <c r="U281" s="13" t="str">
        <f t="shared" si="53"/>
        <v/>
      </c>
      <c r="V281" s="13" t="str">
        <f t="shared" si="54"/>
        <v/>
      </c>
      <c r="W281" s="12">
        <f t="shared" si="55"/>
        <v>8.522594240224772E-2</v>
      </c>
      <c r="X281" s="12">
        <f t="shared" si="56"/>
        <v>0.40158147415984186</v>
      </c>
      <c r="Y281" s="13">
        <f t="shared" si="57"/>
        <v>15.187028622037705</v>
      </c>
      <c r="Z281" s="13">
        <f t="shared" si="58"/>
        <v>34.311105777297378</v>
      </c>
      <c r="AA281" s="13">
        <f t="shared" si="59"/>
        <v>466227781.43515474</v>
      </c>
    </row>
    <row r="282" spans="1:27" x14ac:dyDescent="0.25">
      <c r="A282" s="10" t="s">
        <v>341</v>
      </c>
      <c r="B282" s="11">
        <v>439900000</v>
      </c>
      <c r="C282" s="11">
        <v>1645000000</v>
      </c>
      <c r="D282" s="11">
        <v>938500000</v>
      </c>
      <c r="E282" s="11">
        <v>237100000</v>
      </c>
      <c r="F282" s="11">
        <v>354700000</v>
      </c>
      <c r="G282" s="11">
        <v>114000000</v>
      </c>
      <c r="H282" s="11">
        <v>1926450000</v>
      </c>
      <c r="I282" s="11">
        <v>7027900000</v>
      </c>
      <c r="J282" s="11">
        <v>2405000000</v>
      </c>
      <c r="K282" s="11"/>
      <c r="L282" s="11">
        <v>61132907519.529999</v>
      </c>
      <c r="M282" s="11"/>
      <c r="N282" s="11">
        <v>5.03</v>
      </c>
      <c r="O282" s="11">
        <v>87400000</v>
      </c>
      <c r="P282" s="12">
        <f t="shared" si="48"/>
        <v>0.22834747852267123</v>
      </c>
      <c r="Q282" s="12">
        <f t="shared" si="49"/>
        <v>6.2593377822678181E-2</v>
      </c>
      <c r="R282" s="12">
        <f t="shared" si="50"/>
        <v>0.26741641337386018</v>
      </c>
      <c r="S282" s="12">
        <f t="shared" si="51"/>
        <v>0.14413373860182371</v>
      </c>
      <c r="T282" s="12">
        <f t="shared" si="52"/>
        <v>0.57051671732522802</v>
      </c>
      <c r="U282" s="13">
        <f t="shared" si="53"/>
        <v>6.7803777840428534</v>
      </c>
      <c r="V282" s="13">
        <f t="shared" si="54"/>
        <v>179.1313998295179</v>
      </c>
      <c r="W282" s="12">
        <f t="shared" si="55"/>
        <v>2.631913100693763E-2</v>
      </c>
      <c r="X282" s="12">
        <f t="shared" si="56"/>
        <v>0</v>
      </c>
      <c r="Y282" s="13">
        <f t="shared" si="57"/>
        <v>5.0331807780320368</v>
      </c>
      <c r="Z282" s="13">
        <f t="shared" si="58"/>
        <v>138.97001027399409</v>
      </c>
      <c r="AA282" s="13">
        <f t="shared" si="59"/>
        <v>87455268.389662027</v>
      </c>
    </row>
    <row r="283" spans="1:27" x14ac:dyDescent="0.25">
      <c r="A283" s="10" t="s">
        <v>342</v>
      </c>
      <c r="B283" s="11">
        <v>25276700000</v>
      </c>
      <c r="C283" s="11">
        <v>72249500000</v>
      </c>
      <c r="D283" s="11"/>
      <c r="E283" s="11"/>
      <c r="F283" s="11"/>
      <c r="G283" s="11"/>
      <c r="H283" s="11">
        <v>23481400000</v>
      </c>
      <c r="I283" s="11">
        <v>116576000000</v>
      </c>
      <c r="J283" s="11">
        <v>29474000000</v>
      </c>
      <c r="K283" s="11"/>
      <c r="L283" s="11">
        <v>1085204660489.64</v>
      </c>
      <c r="M283" s="11">
        <v>5585700000</v>
      </c>
      <c r="N283" s="11">
        <v>28.21</v>
      </c>
      <c r="O283" s="11">
        <v>895900000</v>
      </c>
      <c r="P283" s="12">
        <f t="shared" si="48"/>
        <v>1.0764562589964823</v>
      </c>
      <c r="Q283" s="12">
        <f t="shared" si="49"/>
        <v>0.21682593329673347</v>
      </c>
      <c r="R283" s="12">
        <f t="shared" si="50"/>
        <v>0.3498529401587554</v>
      </c>
      <c r="S283" s="12">
        <f t="shared" si="51"/>
        <v>0</v>
      </c>
      <c r="T283" s="12">
        <f t="shared" si="52"/>
        <v>0</v>
      </c>
      <c r="U283" s="13" t="str">
        <f t="shared" si="53"/>
        <v/>
      </c>
      <c r="V283" s="13" t="str">
        <f t="shared" si="54"/>
        <v/>
      </c>
      <c r="W283" s="12">
        <f t="shared" si="55"/>
        <v>0</v>
      </c>
      <c r="X283" s="12">
        <f t="shared" si="56"/>
        <v>0.22098216934963821</v>
      </c>
      <c r="Y283" s="13">
        <f t="shared" si="57"/>
        <v>28.213751534769507</v>
      </c>
      <c r="Z283" s="13">
        <f t="shared" si="58"/>
        <v>42.933003932065496</v>
      </c>
      <c r="AA283" s="13">
        <f t="shared" si="59"/>
        <v>896019142.14817441</v>
      </c>
    </row>
    <row r="284" spans="1:27" x14ac:dyDescent="0.25">
      <c r="A284" s="10" t="s">
        <v>343</v>
      </c>
      <c r="B284" s="11">
        <v>4793000000</v>
      </c>
      <c r="C284" s="11">
        <v>75106000000</v>
      </c>
      <c r="D284" s="11">
        <v>7374000000</v>
      </c>
      <c r="E284" s="11">
        <v>7422000000</v>
      </c>
      <c r="F284" s="11">
        <v>9109000000</v>
      </c>
      <c r="G284" s="11">
        <v>5662000000</v>
      </c>
      <c r="H284" s="11">
        <v>7086000000</v>
      </c>
      <c r="I284" s="11">
        <v>59238000000</v>
      </c>
      <c r="J284" s="11">
        <v>21700000000</v>
      </c>
      <c r="K284" s="11"/>
      <c r="L284" s="11">
        <v>119491897733.67999</v>
      </c>
      <c r="M284" s="11">
        <v>3151000000</v>
      </c>
      <c r="N284" s="11">
        <v>20.74</v>
      </c>
      <c r="O284" s="11">
        <v>231100000</v>
      </c>
      <c r="P284" s="12">
        <f t="shared" si="48"/>
        <v>0.67640417725091728</v>
      </c>
      <c r="Q284" s="12">
        <f t="shared" si="49"/>
        <v>8.0910901786015732E-2</v>
      </c>
      <c r="R284" s="12">
        <f t="shared" si="50"/>
        <v>6.3816472718557768E-2</v>
      </c>
      <c r="S284" s="12">
        <f t="shared" si="51"/>
        <v>9.8820333928048357E-2</v>
      </c>
      <c r="T284" s="12">
        <f t="shared" si="52"/>
        <v>9.818123718477885E-2</v>
      </c>
      <c r="U284" s="13">
        <f t="shared" si="53"/>
        <v>2.3822593039850699</v>
      </c>
      <c r="V284" s="13">
        <f t="shared" si="54"/>
        <v>15.500263226883302</v>
      </c>
      <c r="W284" s="12">
        <f t="shared" si="55"/>
        <v>0.19669283679566457</v>
      </c>
      <c r="X284" s="12">
        <f t="shared" si="56"/>
        <v>0.65741706655539334</v>
      </c>
      <c r="Y284" s="13">
        <f t="shared" si="57"/>
        <v>20.739939420164433</v>
      </c>
      <c r="Z284" s="13">
        <f t="shared" si="58"/>
        <v>24.930502343767994</v>
      </c>
      <c r="AA284" s="13">
        <f t="shared" si="59"/>
        <v>231099324.97589201</v>
      </c>
    </row>
    <row r="285" spans="1:27" x14ac:dyDescent="0.25">
      <c r="A285" s="10" t="s">
        <v>344</v>
      </c>
      <c r="B285" s="11">
        <v>821000000</v>
      </c>
      <c r="C285" s="11">
        <v>4418000000</v>
      </c>
      <c r="D285" s="11"/>
      <c r="E285" s="11">
        <v>1017000000</v>
      </c>
      <c r="F285" s="11">
        <v>1875000000</v>
      </c>
      <c r="G285" s="11">
        <v>-524000000</v>
      </c>
      <c r="H285" s="11">
        <v>7257500000</v>
      </c>
      <c r="I285" s="11">
        <v>24813000000</v>
      </c>
      <c r="J285" s="11">
        <v>11007000000</v>
      </c>
      <c r="K285" s="11"/>
      <c r="L285" s="11">
        <v>19551570912.700001</v>
      </c>
      <c r="M285" s="11">
        <v>528000000</v>
      </c>
      <c r="N285" s="11">
        <v>3.17</v>
      </c>
      <c r="O285" s="11">
        <v>258800000</v>
      </c>
      <c r="P285" s="12">
        <f t="shared" si="48"/>
        <v>0.11312435411643128</v>
      </c>
      <c r="Q285" s="12">
        <f t="shared" si="49"/>
        <v>3.3087494458549957E-2</v>
      </c>
      <c r="R285" s="12">
        <f t="shared" si="50"/>
        <v>0.18583069262109553</v>
      </c>
      <c r="S285" s="12">
        <f t="shared" si="51"/>
        <v>0.23019465821638752</v>
      </c>
      <c r="T285" s="12">
        <f t="shared" si="52"/>
        <v>0</v>
      </c>
      <c r="U285" s="13">
        <f t="shared" si="53"/>
        <v>5.8704000000000001</v>
      </c>
      <c r="V285" s="13">
        <f t="shared" si="54"/>
        <v>16.297904486773334</v>
      </c>
      <c r="W285" s="12">
        <f t="shared" si="55"/>
        <v>-2.8689534342577129E-2</v>
      </c>
      <c r="X285" s="12">
        <f t="shared" si="56"/>
        <v>0.64311814859926919</v>
      </c>
      <c r="Y285" s="13">
        <f t="shared" si="57"/>
        <v>3.1723338485316845</v>
      </c>
      <c r="Z285" s="13">
        <f t="shared" si="58"/>
        <v>23.814337287088918</v>
      </c>
      <c r="AA285" s="13">
        <f t="shared" si="59"/>
        <v>258990536.27760252</v>
      </c>
    </row>
    <row r="286" spans="1:27" x14ac:dyDescent="0.25">
      <c r="A286" s="10" t="s">
        <v>345</v>
      </c>
      <c r="B286" s="11">
        <v>6641000000</v>
      </c>
      <c r="C286" s="11">
        <v>88434000000</v>
      </c>
      <c r="D286" s="11">
        <v>29442000000</v>
      </c>
      <c r="E286" s="11">
        <v>10213000000</v>
      </c>
      <c r="F286" s="11">
        <v>12544000000</v>
      </c>
      <c r="G286" s="11">
        <v>7619000000</v>
      </c>
      <c r="H286" s="11">
        <v>-11262000000</v>
      </c>
      <c r="I286" s="11">
        <v>54941000000</v>
      </c>
      <c r="J286" s="11">
        <v>39819000000</v>
      </c>
      <c r="K286" s="11"/>
      <c r="L286" s="11">
        <v>119430599733</v>
      </c>
      <c r="M286" s="11">
        <v>2665000000</v>
      </c>
      <c r="N286" s="11">
        <v>11.86</v>
      </c>
      <c r="O286" s="11">
        <v>560000000</v>
      </c>
      <c r="P286" s="12">
        <f t="shared" si="48"/>
        <v>-0.58968211685313443</v>
      </c>
      <c r="Q286" s="12">
        <f t="shared" si="49"/>
        <v>0.1208751205838991</v>
      </c>
      <c r="R286" s="12">
        <f t="shared" si="50"/>
        <v>7.5095551484723064E-2</v>
      </c>
      <c r="S286" s="12">
        <f t="shared" si="51"/>
        <v>0.11548725603274758</v>
      </c>
      <c r="T286" s="12">
        <f t="shared" si="52"/>
        <v>0.33292625008480903</v>
      </c>
      <c r="U286" s="13">
        <f t="shared" si="53"/>
        <v>3.174346301020408</v>
      </c>
      <c r="V286" s="13">
        <f t="shared" si="54"/>
        <v>12.695280590959822</v>
      </c>
      <c r="W286" s="12">
        <f t="shared" si="55"/>
        <v>0.26679973386560213</v>
      </c>
      <c r="X286" s="12">
        <f t="shared" si="56"/>
        <v>0.40129498569492544</v>
      </c>
      <c r="Y286" s="13">
        <f t="shared" si="57"/>
        <v>11.858928571428571</v>
      </c>
      <c r="Z286" s="13">
        <f t="shared" si="58"/>
        <v>17.983827696581841</v>
      </c>
      <c r="AA286" s="13">
        <f t="shared" si="59"/>
        <v>559949409.78077579</v>
      </c>
    </row>
    <row r="287" spans="1:27" x14ac:dyDescent="0.25">
      <c r="A287" s="10" t="s">
        <v>346</v>
      </c>
      <c r="B287" s="11">
        <v>6708202000</v>
      </c>
      <c r="C287" s="11">
        <v>21681845000</v>
      </c>
      <c r="D287" s="11">
        <v>10836277000</v>
      </c>
      <c r="E287" s="11">
        <v>7427435000</v>
      </c>
      <c r="F287" s="11">
        <v>7847765000</v>
      </c>
      <c r="G287" s="11">
        <v>6004822000</v>
      </c>
      <c r="H287" s="11">
        <v>10047942000</v>
      </c>
      <c r="I287" s="11">
        <v>20791910000</v>
      </c>
      <c r="J287" s="11">
        <v>4469364000</v>
      </c>
      <c r="K287" s="11"/>
      <c r="L287" s="11">
        <v>441652875421.90997</v>
      </c>
      <c r="M287" s="11">
        <v>1240524000</v>
      </c>
      <c r="N287" s="11">
        <v>5.31</v>
      </c>
      <c r="O287" s="11">
        <v>1262792000</v>
      </c>
      <c r="P287" s="12">
        <f t="shared" si="48"/>
        <v>0.66761949859981273</v>
      </c>
      <c r="Q287" s="12">
        <f t="shared" si="49"/>
        <v>0.32263519801692103</v>
      </c>
      <c r="R287" s="12">
        <f t="shared" si="50"/>
        <v>0.30939258167374595</v>
      </c>
      <c r="S287" s="12">
        <f t="shared" si="51"/>
        <v>0.34256471255098447</v>
      </c>
      <c r="T287" s="12">
        <f t="shared" si="52"/>
        <v>0.49978574240337942</v>
      </c>
      <c r="U287" s="13">
        <f t="shared" si="53"/>
        <v>0.56950787899484756</v>
      </c>
      <c r="V287" s="13">
        <f t="shared" si="54"/>
        <v>56.847043638782502</v>
      </c>
      <c r="W287" s="12">
        <f t="shared" si="55"/>
        <v>0.41363197827475706</v>
      </c>
      <c r="X287" s="12">
        <f t="shared" si="56"/>
        <v>0.18492645272160857</v>
      </c>
      <c r="Y287" s="13">
        <f t="shared" si="57"/>
        <v>5.3121986835520021</v>
      </c>
      <c r="Z287" s="13">
        <f t="shared" si="58"/>
        <v>65.837742426645761</v>
      </c>
      <c r="AA287" s="13">
        <f t="shared" si="59"/>
        <v>1263314877.5894539</v>
      </c>
    </row>
    <row r="288" spans="1:27" x14ac:dyDescent="0.25">
      <c r="A288" s="10" t="s">
        <v>347</v>
      </c>
      <c r="B288" s="11">
        <v>1459659000</v>
      </c>
      <c r="C288" s="11">
        <v>11203543000</v>
      </c>
      <c r="D288" s="11">
        <v>6239824000</v>
      </c>
      <c r="E288" s="11">
        <v>2048936000</v>
      </c>
      <c r="F288" s="11">
        <v>2565970000</v>
      </c>
      <c r="G288" s="11">
        <v>1279952000</v>
      </c>
      <c r="H288" s="11">
        <v>4557585500</v>
      </c>
      <c r="I288" s="11">
        <v>8531441000</v>
      </c>
      <c r="J288" s="11"/>
      <c r="K288" s="11"/>
      <c r="L288" s="11">
        <v>13230167228.76</v>
      </c>
      <c r="M288" s="11"/>
      <c r="N288" s="11">
        <v>12.64</v>
      </c>
      <c r="O288" s="11">
        <v>115482000</v>
      </c>
      <c r="P288" s="12">
        <f t="shared" si="48"/>
        <v>0.32027023958190143</v>
      </c>
      <c r="Q288" s="12">
        <f t="shared" si="49"/>
        <v>0.1710917299902795</v>
      </c>
      <c r="R288" s="12">
        <f t="shared" si="50"/>
        <v>0.13028548201225273</v>
      </c>
      <c r="S288" s="12">
        <f t="shared" si="51"/>
        <v>0.18288286125201644</v>
      </c>
      <c r="T288" s="12">
        <f t="shared" si="52"/>
        <v>0.5569509573891045</v>
      </c>
      <c r="U288" s="13">
        <f t="shared" si="53"/>
        <v>0</v>
      </c>
      <c r="V288" s="13">
        <f t="shared" si="54"/>
        <v>5.1560100970627092</v>
      </c>
      <c r="W288" s="12">
        <f t="shared" si="55"/>
        <v>0.28083993158219411</v>
      </c>
      <c r="X288" s="12">
        <f t="shared" si="56"/>
        <v>0</v>
      </c>
      <c r="Y288" s="13">
        <f t="shared" si="57"/>
        <v>12.639710084688524</v>
      </c>
      <c r="Z288" s="13">
        <f t="shared" si="58"/>
        <v>9.0638753494891624</v>
      </c>
      <c r="AA288" s="13">
        <f t="shared" si="59"/>
        <v>115479351.26582278</v>
      </c>
    </row>
    <row r="289" spans="1:27" x14ac:dyDescent="0.25">
      <c r="A289" s="10" t="s">
        <v>348</v>
      </c>
      <c r="B289" s="11">
        <v>817000000</v>
      </c>
      <c r="C289" s="11"/>
      <c r="D289" s="11"/>
      <c r="E289" s="11"/>
      <c r="F289" s="11">
        <v>2543000000</v>
      </c>
      <c r="G289" s="11">
        <v>-402000000</v>
      </c>
      <c r="H289" s="11">
        <v>8120000000</v>
      </c>
      <c r="I289" s="11">
        <v>29355000000</v>
      </c>
      <c r="J289" s="11">
        <v>4929000000</v>
      </c>
      <c r="K289" s="11"/>
      <c r="L289" s="11">
        <v>24057442750.509998</v>
      </c>
      <c r="M289" s="11">
        <v>385000000</v>
      </c>
      <c r="N289" s="11">
        <v>1.62</v>
      </c>
      <c r="O289" s="11">
        <v>503000000</v>
      </c>
      <c r="P289" s="12">
        <f t="shared" si="48"/>
        <v>0.10061576354679803</v>
      </c>
      <c r="Q289" s="12">
        <f t="shared" si="49"/>
        <v>2.7831715210355986E-2</v>
      </c>
      <c r="R289" s="12" t="str">
        <f t="shared" si="50"/>
        <v/>
      </c>
      <c r="S289" s="12" t="str">
        <f t="shared" si="51"/>
        <v/>
      </c>
      <c r="T289" s="12" t="str">
        <f t="shared" si="52"/>
        <v/>
      </c>
      <c r="U289" s="13">
        <f t="shared" si="53"/>
        <v>1.9382618953991348</v>
      </c>
      <c r="V289" s="13">
        <f t="shared" si="54"/>
        <v>11.398522512980731</v>
      </c>
      <c r="W289" s="12">
        <f t="shared" si="55"/>
        <v>-3.080695838761591E-2</v>
      </c>
      <c r="X289" s="12">
        <f t="shared" si="56"/>
        <v>0.47123623011015914</v>
      </c>
      <c r="Y289" s="13">
        <f t="shared" si="57"/>
        <v>1.6242544731610338</v>
      </c>
      <c r="Z289" s="13">
        <f t="shared" si="58"/>
        <v>29.446074358029374</v>
      </c>
      <c r="AA289" s="13">
        <f t="shared" si="59"/>
        <v>504320987.65432096</v>
      </c>
    </row>
    <row r="290" spans="1:27" x14ac:dyDescent="0.25">
      <c r="A290" s="10" t="s">
        <v>349</v>
      </c>
      <c r="B290" s="11">
        <v>1842000000</v>
      </c>
      <c r="C290" s="11">
        <v>13740000000</v>
      </c>
      <c r="D290" s="11"/>
      <c r="E290" s="11">
        <v>3113000000</v>
      </c>
      <c r="F290" s="11">
        <v>4572000000</v>
      </c>
      <c r="G290" s="11">
        <v>2245000000</v>
      </c>
      <c r="H290" s="11">
        <v>1948500000</v>
      </c>
      <c r="I290" s="11">
        <v>21176000000</v>
      </c>
      <c r="J290" s="11"/>
      <c r="K290" s="11"/>
      <c r="L290" s="11">
        <v>30779504251.799999</v>
      </c>
      <c r="M290" s="11"/>
      <c r="N290" s="11">
        <v>2.75</v>
      </c>
      <c r="O290" s="11">
        <v>671000000</v>
      </c>
      <c r="P290" s="12">
        <f t="shared" si="48"/>
        <v>0.94534257120862197</v>
      </c>
      <c r="Q290" s="12">
        <f t="shared" si="49"/>
        <v>8.6985266339251979E-2</v>
      </c>
      <c r="R290" s="12">
        <f t="shared" si="50"/>
        <v>0.13406113537117903</v>
      </c>
      <c r="S290" s="12">
        <f t="shared" si="51"/>
        <v>0.22656477438136827</v>
      </c>
      <c r="T290" s="12">
        <f t="shared" si="52"/>
        <v>0</v>
      </c>
      <c r="U290" s="13">
        <f t="shared" si="53"/>
        <v>0</v>
      </c>
      <c r="V290" s="13">
        <f t="shared" si="54"/>
        <v>6.7321750332020995</v>
      </c>
      <c r="W290" s="12">
        <f t="shared" si="55"/>
        <v>1.1521683346163716</v>
      </c>
      <c r="X290" s="12">
        <f t="shared" si="56"/>
        <v>0</v>
      </c>
      <c r="Y290" s="13">
        <f t="shared" si="57"/>
        <v>2.7451564828614008</v>
      </c>
      <c r="Z290" s="13">
        <f t="shared" si="58"/>
        <v>16.709828584039087</v>
      </c>
      <c r="AA290" s="13">
        <f t="shared" si="59"/>
        <v>669818181.81818187</v>
      </c>
    </row>
    <row r="291" spans="1:27" x14ac:dyDescent="0.25">
      <c r="A291" s="10" t="s">
        <v>350</v>
      </c>
      <c r="B291" s="11">
        <v>-790000000</v>
      </c>
      <c r="C291" s="11">
        <v>29673000000</v>
      </c>
      <c r="D291" s="11"/>
      <c r="E291" s="11">
        <v>-295000000</v>
      </c>
      <c r="F291" s="11">
        <v>1114000000</v>
      </c>
      <c r="G291" s="11">
        <v>908000000</v>
      </c>
      <c r="H291" s="11">
        <v>11124500000</v>
      </c>
      <c r="I291" s="11">
        <v>33958000000</v>
      </c>
      <c r="J291" s="11"/>
      <c r="K291" s="11"/>
      <c r="L291" s="11">
        <v>17879048379.459999</v>
      </c>
      <c r="M291" s="11"/>
      <c r="N291" s="11"/>
      <c r="O291" s="11"/>
      <c r="P291" s="12">
        <f t="shared" si="48"/>
        <v>-7.1014427614724263E-2</v>
      </c>
      <c r="Q291" s="12">
        <f t="shared" si="49"/>
        <v>-2.3264032039578303E-2</v>
      </c>
      <c r="R291" s="12">
        <f t="shared" si="50"/>
        <v>-2.6623529808243184E-2</v>
      </c>
      <c r="S291" s="12">
        <f t="shared" si="51"/>
        <v>-9.9416978397870118E-3</v>
      </c>
      <c r="T291" s="12">
        <f t="shared" si="52"/>
        <v>0</v>
      </c>
      <c r="U291" s="13">
        <f t="shared" si="53"/>
        <v>0</v>
      </c>
      <c r="V291" s="13">
        <f t="shared" si="54"/>
        <v>16.049415062351883</v>
      </c>
      <c r="W291" s="12">
        <f t="shared" si="55"/>
        <v>8.1621645916670413E-2</v>
      </c>
      <c r="X291" s="12">
        <f t="shared" si="56"/>
        <v>0</v>
      </c>
      <c r="Y291" s="13" t="str">
        <f t="shared" si="57"/>
        <v/>
      </c>
      <c r="Z291" s="13">
        <f t="shared" si="58"/>
        <v>-22.631706809443038</v>
      </c>
      <c r="AA291" s="13" t="str">
        <f t="shared" si="59"/>
        <v/>
      </c>
    </row>
    <row r="292" spans="1:27" x14ac:dyDescent="0.25">
      <c r="A292" s="10" t="s">
        <v>351</v>
      </c>
      <c r="B292" s="11">
        <v>83665000</v>
      </c>
      <c r="C292" s="11">
        <v>25612318000</v>
      </c>
      <c r="D292" s="11"/>
      <c r="E292" s="11">
        <v>765932000</v>
      </c>
      <c r="F292" s="11">
        <v>1424645000</v>
      </c>
      <c r="G292" s="11">
        <v>1213008000</v>
      </c>
      <c r="H292" s="11">
        <v>-16704500</v>
      </c>
      <c r="I292" s="11">
        <v>26068092000</v>
      </c>
      <c r="J292" s="11"/>
      <c r="K292" s="11"/>
      <c r="L292" s="11">
        <v>42488703267.529999</v>
      </c>
      <c r="M292" s="11"/>
      <c r="N292" s="11">
        <v>0.36</v>
      </c>
      <c r="O292" s="11">
        <v>232400991</v>
      </c>
      <c r="P292" s="12">
        <f t="shared" si="48"/>
        <v>-5.0085306354575119</v>
      </c>
      <c r="Q292" s="12">
        <f t="shared" si="49"/>
        <v>3.2094792361481617E-3</v>
      </c>
      <c r="R292" s="12">
        <f t="shared" si="50"/>
        <v>3.2665922701725007E-3</v>
      </c>
      <c r="S292" s="12">
        <f t="shared" si="51"/>
        <v>2.9904829387172219E-2</v>
      </c>
      <c r="T292" s="12">
        <f t="shared" si="52"/>
        <v>0</v>
      </c>
      <c r="U292" s="13">
        <f t="shared" si="53"/>
        <v>0</v>
      </c>
      <c r="V292" s="13">
        <f t="shared" si="54"/>
        <v>29.824063726423073</v>
      </c>
      <c r="W292" s="12">
        <f t="shared" si="55"/>
        <v>-72.615642491544193</v>
      </c>
      <c r="X292" s="12">
        <f t="shared" si="56"/>
        <v>0</v>
      </c>
      <c r="Y292" s="13">
        <f t="shared" si="57"/>
        <v>0.36000276780231116</v>
      </c>
      <c r="Z292" s="13">
        <f t="shared" si="58"/>
        <v>507.84322318209524</v>
      </c>
      <c r="AA292" s="13">
        <f t="shared" si="59"/>
        <v>232402777.77777779</v>
      </c>
    </row>
    <row r="293" spans="1:27" x14ac:dyDescent="0.25">
      <c r="A293" s="10" t="s">
        <v>352</v>
      </c>
      <c r="B293" s="11">
        <v>15570000000</v>
      </c>
      <c r="C293" s="11">
        <v>33939000000</v>
      </c>
      <c r="D293" s="11"/>
      <c r="E293" s="11">
        <v>19655000000</v>
      </c>
      <c r="F293" s="11">
        <v>20822000000</v>
      </c>
      <c r="G293" s="11">
        <v>17783000000</v>
      </c>
      <c r="H293" s="11">
        <v>6695000000</v>
      </c>
      <c r="I293" s="11">
        <v>52449000000</v>
      </c>
      <c r="J293" s="11">
        <v>17212000000</v>
      </c>
      <c r="K293" s="11"/>
      <c r="L293" s="11">
        <v>462291083721.94</v>
      </c>
      <c r="M293" s="11">
        <v>2839000000</v>
      </c>
      <c r="N293" s="11">
        <v>17.440000000000001</v>
      </c>
      <c r="O293" s="11">
        <v>893000000</v>
      </c>
      <c r="P293" s="12">
        <f t="shared" si="48"/>
        <v>2.3256161314413744</v>
      </c>
      <c r="Q293" s="12">
        <f t="shared" si="49"/>
        <v>0.29685980666933592</v>
      </c>
      <c r="R293" s="12">
        <f t="shared" si="50"/>
        <v>0.45876425351365685</v>
      </c>
      <c r="S293" s="12">
        <f t="shared" si="51"/>
        <v>0.57912725772709861</v>
      </c>
      <c r="T293" s="12">
        <f t="shared" si="52"/>
        <v>0</v>
      </c>
      <c r="U293" s="13">
        <f t="shared" si="53"/>
        <v>0.82662568437229855</v>
      </c>
      <c r="V293" s="13">
        <f t="shared" si="54"/>
        <v>23.028675618189414</v>
      </c>
      <c r="W293" s="12">
        <f t="shared" si="55"/>
        <v>0.74384071610825286</v>
      </c>
      <c r="X293" s="12">
        <f t="shared" si="56"/>
        <v>0.18233782915863841</v>
      </c>
      <c r="Y293" s="13">
        <f t="shared" si="57"/>
        <v>17.435610302351623</v>
      </c>
      <c r="Z293" s="13">
        <f t="shared" si="58"/>
        <v>29.69114217867309</v>
      </c>
      <c r="AA293" s="13">
        <f t="shared" si="59"/>
        <v>892775229.3577981</v>
      </c>
    </row>
    <row r="294" spans="1:27" x14ac:dyDescent="0.25">
      <c r="A294" s="10" t="s">
        <v>353</v>
      </c>
      <c r="B294" s="11">
        <v>389595000</v>
      </c>
      <c r="C294" s="11">
        <v>2213556000</v>
      </c>
      <c r="D294" s="11"/>
      <c r="E294" s="11"/>
      <c r="F294" s="11"/>
      <c r="G294" s="11"/>
      <c r="H294" s="11">
        <v>5745173000</v>
      </c>
      <c r="I294" s="11">
        <v>11994502000</v>
      </c>
      <c r="J294" s="11"/>
      <c r="K294" s="11"/>
      <c r="L294" s="11">
        <v>15828333072</v>
      </c>
      <c r="M294" s="11">
        <v>710771000</v>
      </c>
      <c r="N294" s="11">
        <v>3.34</v>
      </c>
      <c r="O294" s="11">
        <v>116740000</v>
      </c>
      <c r="P294" s="12">
        <f t="shared" si="48"/>
        <v>6.7812579360099337E-2</v>
      </c>
      <c r="Q294" s="12">
        <f t="shared" si="49"/>
        <v>3.2481131771873478E-2</v>
      </c>
      <c r="R294" s="12">
        <f t="shared" si="50"/>
        <v>0.17600413090972172</v>
      </c>
      <c r="S294" s="12">
        <f t="shared" si="51"/>
        <v>0</v>
      </c>
      <c r="T294" s="12">
        <f t="shared" si="52"/>
        <v>0</v>
      </c>
      <c r="U294" s="13" t="str">
        <f t="shared" si="53"/>
        <v/>
      </c>
      <c r="V294" s="13" t="str">
        <f t="shared" si="54"/>
        <v/>
      </c>
      <c r="W294" s="12">
        <f t="shared" si="55"/>
        <v>0</v>
      </c>
      <c r="X294" s="12">
        <f t="shared" si="56"/>
        <v>1.8243842965130457</v>
      </c>
      <c r="Y294" s="13">
        <f t="shared" si="57"/>
        <v>3.3372879904060304</v>
      </c>
      <c r="Z294" s="13">
        <f t="shared" si="58"/>
        <v>40.627659677357258</v>
      </c>
      <c r="AA294" s="13">
        <f t="shared" si="59"/>
        <v>116645209.58083832</v>
      </c>
    </row>
    <row r="295" spans="1:27" x14ac:dyDescent="0.25">
      <c r="A295" s="10" t="s">
        <v>354</v>
      </c>
      <c r="B295" s="11">
        <v>2584000000</v>
      </c>
      <c r="C295" s="11">
        <v>26577000000</v>
      </c>
      <c r="D295" s="11"/>
      <c r="E295" s="11">
        <v>4257000000</v>
      </c>
      <c r="F295" s="11">
        <v>4402000000</v>
      </c>
      <c r="G295" s="11">
        <v>2649000000</v>
      </c>
      <c r="H295" s="11">
        <v>-3630000000</v>
      </c>
      <c r="I295" s="11">
        <v>27857000000</v>
      </c>
      <c r="J295" s="11">
        <v>23000000</v>
      </c>
      <c r="K295" s="11"/>
      <c r="L295" s="11">
        <v>98216101730.699997</v>
      </c>
      <c r="M295" s="11">
        <v>722000000</v>
      </c>
      <c r="N295" s="11">
        <v>9.69</v>
      </c>
      <c r="O295" s="11">
        <v>266800000</v>
      </c>
      <c r="P295" s="12">
        <f t="shared" si="48"/>
        <v>-0.71184573002754825</v>
      </c>
      <c r="Q295" s="12">
        <f t="shared" si="49"/>
        <v>9.2759450048461783E-2</v>
      </c>
      <c r="R295" s="12">
        <f t="shared" si="50"/>
        <v>9.7226925537118564E-2</v>
      </c>
      <c r="S295" s="12">
        <f t="shared" si="51"/>
        <v>0.16017609210971892</v>
      </c>
      <c r="T295" s="12">
        <f t="shared" si="52"/>
        <v>0</v>
      </c>
      <c r="U295" s="13">
        <f t="shared" si="53"/>
        <v>5.224897773739209E-3</v>
      </c>
      <c r="V295" s="13">
        <f t="shared" si="54"/>
        <v>22.316924518559745</v>
      </c>
      <c r="W295" s="12">
        <f t="shared" si="55"/>
        <v>-0.73440532298308847</v>
      </c>
      <c r="X295" s="12">
        <f t="shared" si="56"/>
        <v>0.27941176470588236</v>
      </c>
      <c r="Y295" s="13">
        <f t="shared" si="57"/>
        <v>9.6851574212893556</v>
      </c>
      <c r="Z295" s="13">
        <f t="shared" si="58"/>
        <v>38.009327295162535</v>
      </c>
      <c r="AA295" s="13">
        <f t="shared" si="59"/>
        <v>266666666.66666669</v>
      </c>
    </row>
    <row r="296" spans="1:27" x14ac:dyDescent="0.25">
      <c r="A296" s="10" t="s">
        <v>355</v>
      </c>
      <c r="B296" s="11">
        <v>837000000</v>
      </c>
      <c r="C296" s="11">
        <v>7679000000</v>
      </c>
      <c r="D296" s="11">
        <v>2721000000</v>
      </c>
      <c r="E296" s="11">
        <v>1278000000</v>
      </c>
      <c r="F296" s="11">
        <v>1429000000</v>
      </c>
      <c r="G296" s="11">
        <v>943000000</v>
      </c>
      <c r="H296" s="11">
        <v>-248000000</v>
      </c>
      <c r="I296" s="11">
        <v>5233000000</v>
      </c>
      <c r="J296" s="11">
        <v>2947000000</v>
      </c>
      <c r="K296" s="11"/>
      <c r="L296" s="11">
        <v>15604446870.129999</v>
      </c>
      <c r="M296" s="11">
        <v>260000000</v>
      </c>
      <c r="N296" s="11">
        <v>4.0999999999999996</v>
      </c>
      <c r="O296" s="11">
        <v>204000000</v>
      </c>
      <c r="P296" s="12">
        <f t="shared" si="48"/>
        <v>-3.375</v>
      </c>
      <c r="Q296" s="12">
        <f t="shared" si="49"/>
        <v>0.15994649340722339</v>
      </c>
      <c r="R296" s="12">
        <f t="shared" si="50"/>
        <v>0.10899856752181274</v>
      </c>
      <c r="S296" s="12">
        <f t="shared" si="51"/>
        <v>0.16642792030212267</v>
      </c>
      <c r="T296" s="12">
        <f t="shared" si="52"/>
        <v>0.35434301341320484</v>
      </c>
      <c r="U296" s="13">
        <f t="shared" si="53"/>
        <v>2.0622813156053184</v>
      </c>
      <c r="V296" s="13">
        <f t="shared" si="54"/>
        <v>12.982118173638906</v>
      </c>
      <c r="W296" s="12">
        <f t="shared" si="55"/>
        <v>0.3493886624675806</v>
      </c>
      <c r="X296" s="12">
        <f t="shared" si="56"/>
        <v>0.31063321385902032</v>
      </c>
      <c r="Y296" s="13">
        <f t="shared" si="57"/>
        <v>4.1029411764705879</v>
      </c>
      <c r="Z296" s="13">
        <f t="shared" si="58"/>
        <v>18.643305699080045</v>
      </c>
      <c r="AA296" s="13">
        <f t="shared" si="59"/>
        <v>204146341.46341464</v>
      </c>
    </row>
    <row r="297" spans="1:27" x14ac:dyDescent="0.25">
      <c r="A297" s="10" t="s">
        <v>356</v>
      </c>
      <c r="B297" s="11">
        <v>8678000000</v>
      </c>
      <c r="C297" s="11">
        <v>27446000000</v>
      </c>
      <c r="D297" s="11"/>
      <c r="E297" s="11">
        <v>12698000000</v>
      </c>
      <c r="F297" s="11">
        <v>13159000000</v>
      </c>
      <c r="G297" s="11">
        <v>7039000000</v>
      </c>
      <c r="H297" s="11">
        <v>-2370000000</v>
      </c>
      <c r="I297" s="11">
        <v>60037000000</v>
      </c>
      <c r="J297" s="11">
        <v>39973000000</v>
      </c>
      <c r="K297" s="11"/>
      <c r="L297" s="11">
        <v>196447758016.38</v>
      </c>
      <c r="M297" s="11">
        <v>5172000000</v>
      </c>
      <c r="N297" s="11">
        <v>12162578.84</v>
      </c>
      <c r="O297" s="11">
        <v>713.5</v>
      </c>
      <c r="P297" s="12">
        <f t="shared" si="48"/>
        <v>-3.661603375527426</v>
      </c>
      <c r="Q297" s="12">
        <f t="shared" si="49"/>
        <v>0.14454419774472407</v>
      </c>
      <c r="R297" s="12">
        <f t="shared" si="50"/>
        <v>0.31618450776069373</v>
      </c>
      <c r="S297" s="12">
        <f t="shared" si="51"/>
        <v>0.46265393864315385</v>
      </c>
      <c r="T297" s="12">
        <f t="shared" si="52"/>
        <v>0</v>
      </c>
      <c r="U297" s="13">
        <f t="shared" si="53"/>
        <v>3.0376928338019606</v>
      </c>
      <c r="V297" s="13">
        <f t="shared" si="54"/>
        <v>17.966468425897105</v>
      </c>
      <c r="W297" s="12">
        <f t="shared" si="55"/>
        <v>0.18719251123580566</v>
      </c>
      <c r="X297" s="12">
        <f t="shared" si="56"/>
        <v>0.59598985941461169</v>
      </c>
      <c r="Y297" s="13">
        <f t="shared" si="57"/>
        <v>12162578.836720392</v>
      </c>
      <c r="Z297" s="13">
        <f t="shared" si="58"/>
        <v>22.63744618764462</v>
      </c>
      <c r="AA297" s="13">
        <f t="shared" si="59"/>
        <v>713.49999980760663</v>
      </c>
    </row>
    <row r="298" spans="1:27" x14ac:dyDescent="0.25">
      <c r="A298" s="10" t="s">
        <v>357</v>
      </c>
      <c r="B298" s="11">
        <v>230000000</v>
      </c>
      <c r="C298" s="11">
        <v>4713100000</v>
      </c>
      <c r="D298" s="11">
        <v>2721100000</v>
      </c>
      <c r="E298" s="11">
        <v>490100000</v>
      </c>
      <c r="F298" s="11">
        <v>1179400000</v>
      </c>
      <c r="G298" s="11">
        <v>871000000</v>
      </c>
      <c r="H298" s="11">
        <v>6755350000</v>
      </c>
      <c r="I298" s="11">
        <v>14370100000</v>
      </c>
      <c r="J298" s="11">
        <v>5496400000</v>
      </c>
      <c r="K298" s="11"/>
      <c r="L298" s="11">
        <v>47925919896.190002</v>
      </c>
      <c r="M298" s="11">
        <v>984000000</v>
      </c>
      <c r="N298" s="11">
        <v>0.42</v>
      </c>
      <c r="O298" s="11">
        <v>545200000</v>
      </c>
      <c r="P298" s="12">
        <f t="shared" si="48"/>
        <v>3.4047088603847322E-2</v>
      </c>
      <c r="Q298" s="12">
        <f t="shared" si="49"/>
        <v>1.6005455772750362E-2</v>
      </c>
      <c r="R298" s="12">
        <f t="shared" si="50"/>
        <v>4.8800152765695617E-2</v>
      </c>
      <c r="S298" s="12">
        <f t="shared" si="51"/>
        <v>0.10398676030638009</v>
      </c>
      <c r="T298" s="12">
        <f t="shared" si="52"/>
        <v>0.57734824213362756</v>
      </c>
      <c r="U298" s="13">
        <f t="shared" si="53"/>
        <v>4.6603357639477698</v>
      </c>
      <c r="V298" s="13">
        <f t="shared" si="54"/>
        <v>45.296184412574192</v>
      </c>
      <c r="W298" s="12">
        <f t="shared" si="55"/>
        <v>7.1091884832778993E-2</v>
      </c>
      <c r="X298" s="12">
        <f t="shared" si="56"/>
        <v>4.2782608695652176</v>
      </c>
      <c r="Y298" s="13">
        <f t="shared" si="57"/>
        <v>0.4218635363169479</v>
      </c>
      <c r="Z298" s="13">
        <f t="shared" si="58"/>
        <v>208.3735647660435</v>
      </c>
      <c r="AA298" s="13">
        <f t="shared" si="59"/>
        <v>547619047.61904764</v>
      </c>
    </row>
    <row r="299" spans="1:27" x14ac:dyDescent="0.25">
      <c r="A299" s="10" t="s">
        <v>358</v>
      </c>
      <c r="B299" s="11">
        <v>4762000000</v>
      </c>
      <c r="C299" s="11">
        <v>403430000000</v>
      </c>
      <c r="D299" s="11">
        <v>14550000000</v>
      </c>
      <c r="E299" s="11">
        <v>6212000000</v>
      </c>
      <c r="F299" s="11">
        <v>6499000000</v>
      </c>
      <c r="G299" s="11">
        <v>5719000000</v>
      </c>
      <c r="H299" s="11">
        <v>-2123000000</v>
      </c>
      <c r="I299" s="11">
        <v>82323000000</v>
      </c>
      <c r="J299" s="11">
        <v>6526000000</v>
      </c>
      <c r="K299" s="11"/>
      <c r="L299" s="11">
        <v>92820406727.619995</v>
      </c>
      <c r="M299" s="11">
        <v>381000000</v>
      </c>
      <c r="N299" s="11">
        <v>38.369999999999997</v>
      </c>
      <c r="O299" s="11">
        <v>124100000</v>
      </c>
      <c r="P299" s="12">
        <f t="shared" si="48"/>
        <v>-2.2430522845030616</v>
      </c>
      <c r="Q299" s="12">
        <f t="shared" si="49"/>
        <v>5.7845316618684937E-2</v>
      </c>
      <c r="R299" s="12">
        <f t="shared" si="50"/>
        <v>1.1803782564509332E-2</v>
      </c>
      <c r="S299" s="12">
        <f t="shared" si="51"/>
        <v>1.5397962471804279E-2</v>
      </c>
      <c r="T299" s="12">
        <f t="shared" si="52"/>
        <v>3.6065736311132045E-2</v>
      </c>
      <c r="U299" s="13">
        <f t="shared" si="53"/>
        <v>1.0041544853054316</v>
      </c>
      <c r="V299" s="13">
        <f t="shared" si="54"/>
        <v>15.286414329530697</v>
      </c>
      <c r="W299" s="12">
        <f t="shared" si="55"/>
        <v>1.2988871224165341</v>
      </c>
      <c r="X299" s="12">
        <f t="shared" si="56"/>
        <v>8.0008399832003363E-2</v>
      </c>
      <c r="Y299" s="13">
        <f t="shared" si="57"/>
        <v>38.372280419016924</v>
      </c>
      <c r="Z299" s="13">
        <f t="shared" si="58"/>
        <v>19.491895574888702</v>
      </c>
      <c r="AA299" s="13">
        <f t="shared" si="59"/>
        <v>124107375.55381809</v>
      </c>
    </row>
    <row r="300" spans="1:27" x14ac:dyDescent="0.25">
      <c r="A300" s="10" t="s">
        <v>359</v>
      </c>
      <c r="B300" s="11">
        <v>2495000000</v>
      </c>
      <c r="C300" s="11">
        <v>7873000000</v>
      </c>
      <c r="D300" s="11"/>
      <c r="E300" s="11">
        <v>3427000000</v>
      </c>
      <c r="F300" s="11">
        <v>3916000000</v>
      </c>
      <c r="G300" s="11">
        <v>2747000000</v>
      </c>
      <c r="H300" s="11">
        <v>3347000000</v>
      </c>
      <c r="I300" s="11">
        <v>14732000000</v>
      </c>
      <c r="J300" s="11">
        <v>6963000000</v>
      </c>
      <c r="K300" s="11"/>
      <c r="L300" s="11">
        <v>85070916915.710007</v>
      </c>
      <c r="M300" s="11">
        <v>691000000</v>
      </c>
      <c r="N300" s="11">
        <v>14.07</v>
      </c>
      <c r="O300" s="11">
        <v>177300000</v>
      </c>
      <c r="P300" s="12">
        <f t="shared" si="48"/>
        <v>0.74544368090827606</v>
      </c>
      <c r="Q300" s="12">
        <f t="shared" si="49"/>
        <v>0.16935921802878087</v>
      </c>
      <c r="R300" s="12">
        <f t="shared" si="50"/>
        <v>0.31690588085863075</v>
      </c>
      <c r="S300" s="12">
        <f t="shared" si="51"/>
        <v>0.43528515178458022</v>
      </c>
      <c r="T300" s="12">
        <f t="shared" si="52"/>
        <v>0</v>
      </c>
      <c r="U300" s="13">
        <f t="shared" si="53"/>
        <v>1.7780898876404494</v>
      </c>
      <c r="V300" s="13">
        <f t="shared" si="54"/>
        <v>23.502021684297755</v>
      </c>
      <c r="W300" s="12">
        <f t="shared" si="55"/>
        <v>0.2664403491755577</v>
      </c>
      <c r="X300" s="12">
        <f t="shared" si="56"/>
        <v>0.27695390781563128</v>
      </c>
      <c r="Y300" s="13">
        <f t="shared" si="57"/>
        <v>14.072194021432599</v>
      </c>
      <c r="Z300" s="13">
        <f t="shared" si="58"/>
        <v>34.096559886056113</v>
      </c>
      <c r="AA300" s="13">
        <f t="shared" si="59"/>
        <v>177327647.4769012</v>
      </c>
    </row>
    <row r="301" spans="1:27" x14ac:dyDescent="0.25">
      <c r="A301" s="10" t="s">
        <v>360</v>
      </c>
      <c r="B301" s="11">
        <v>2609000000</v>
      </c>
      <c r="C301" s="11">
        <v>39304000000</v>
      </c>
      <c r="D301" s="11">
        <v>11308000000</v>
      </c>
      <c r="E301" s="11">
        <v>3676000000</v>
      </c>
      <c r="F301" s="11">
        <v>5053000000</v>
      </c>
      <c r="G301" s="11">
        <v>2575000000</v>
      </c>
      <c r="H301" s="11">
        <v>25767500000</v>
      </c>
      <c r="I301" s="11">
        <v>71122000000</v>
      </c>
      <c r="J301" s="11"/>
      <c r="K301" s="11"/>
      <c r="L301" s="11">
        <v>74836780378.449997</v>
      </c>
      <c r="M301" s="11">
        <v>2508000000</v>
      </c>
      <c r="N301" s="11">
        <v>2.0299999999999998</v>
      </c>
      <c r="O301" s="11">
        <v>1286000000</v>
      </c>
      <c r="P301" s="12">
        <f t="shared" si="48"/>
        <v>0.10125157659842825</v>
      </c>
      <c r="Q301" s="12">
        <f t="shared" si="49"/>
        <v>3.6683445347431176E-2</v>
      </c>
      <c r="R301" s="12">
        <f t="shared" si="50"/>
        <v>6.6380012212497452E-2</v>
      </c>
      <c r="S301" s="12">
        <f t="shared" si="51"/>
        <v>9.3527376348463268E-2</v>
      </c>
      <c r="T301" s="12">
        <f t="shared" si="52"/>
        <v>0.28770608589456542</v>
      </c>
      <c r="U301" s="13">
        <f t="shared" si="53"/>
        <v>0</v>
      </c>
      <c r="V301" s="13">
        <f t="shared" si="54"/>
        <v>14.810366194033247</v>
      </c>
      <c r="W301" s="12">
        <f t="shared" si="55"/>
        <v>9.993208499078296E-2</v>
      </c>
      <c r="X301" s="12">
        <f t="shared" si="56"/>
        <v>0.96128784975086234</v>
      </c>
      <c r="Y301" s="13">
        <f t="shared" si="57"/>
        <v>2.0287713841368586</v>
      </c>
      <c r="Z301" s="13">
        <f t="shared" si="58"/>
        <v>28.684086001705634</v>
      </c>
      <c r="AA301" s="13">
        <f t="shared" si="59"/>
        <v>1285221674.8768475</v>
      </c>
    </row>
    <row r="302" spans="1:27" x14ac:dyDescent="0.25">
      <c r="A302" s="10" t="s">
        <v>361</v>
      </c>
      <c r="B302" s="11">
        <v>4801000000</v>
      </c>
      <c r="C302" s="11">
        <v>36364000000</v>
      </c>
      <c r="D302" s="11"/>
      <c r="E302" s="11">
        <v>6467000000</v>
      </c>
      <c r="F302" s="11">
        <v>9425000000</v>
      </c>
      <c r="G302" s="11">
        <v>5426000000</v>
      </c>
      <c r="H302" s="11">
        <v>48743500000</v>
      </c>
      <c r="I302" s="11">
        <v>93028000000</v>
      </c>
      <c r="J302" s="11"/>
      <c r="K302" s="11"/>
      <c r="L302" s="11">
        <v>105462922422.82001</v>
      </c>
      <c r="M302" s="11">
        <v>3639000000</v>
      </c>
      <c r="N302" s="11">
        <v>3.73</v>
      </c>
      <c r="O302" s="11">
        <v>1288100000</v>
      </c>
      <c r="P302" s="12">
        <f t="shared" si="48"/>
        <v>9.8495183973247719E-2</v>
      </c>
      <c r="Q302" s="12">
        <f t="shared" si="49"/>
        <v>5.1608117985982714E-2</v>
      </c>
      <c r="R302" s="12">
        <f t="shared" si="50"/>
        <v>0.13202617973820263</v>
      </c>
      <c r="S302" s="12">
        <f t="shared" si="51"/>
        <v>0.17784072159278408</v>
      </c>
      <c r="T302" s="12">
        <f t="shared" si="52"/>
        <v>0</v>
      </c>
      <c r="U302" s="13">
        <f t="shared" si="53"/>
        <v>0</v>
      </c>
      <c r="V302" s="13">
        <f t="shared" si="54"/>
        <v>11.189699991811141</v>
      </c>
      <c r="W302" s="12">
        <f t="shared" si="55"/>
        <v>0.11131740642342056</v>
      </c>
      <c r="X302" s="12">
        <f t="shared" si="56"/>
        <v>0.75796709018954389</v>
      </c>
      <c r="Y302" s="13">
        <f t="shared" si="57"/>
        <v>3.7271950935486373</v>
      </c>
      <c r="Z302" s="13">
        <f t="shared" si="58"/>
        <v>21.966865741058115</v>
      </c>
      <c r="AA302" s="13">
        <f t="shared" si="59"/>
        <v>1287131367.2922251</v>
      </c>
    </row>
    <row r="303" spans="1:27" x14ac:dyDescent="0.25">
      <c r="A303" s="10" t="s">
        <v>362</v>
      </c>
      <c r="B303" s="11">
        <v>3619000000</v>
      </c>
      <c r="C303" s="11">
        <v>77589000000</v>
      </c>
      <c r="D303" s="11"/>
      <c r="E303" s="11">
        <v>6353000000</v>
      </c>
      <c r="F303" s="11">
        <v>6470000000</v>
      </c>
      <c r="G303" s="11"/>
      <c r="H303" s="11">
        <v>27408500000</v>
      </c>
      <c r="I303" s="11">
        <v>743211000000</v>
      </c>
      <c r="J303" s="11"/>
      <c r="K303" s="11"/>
      <c r="L303" s="11">
        <v>58649263387.660004</v>
      </c>
      <c r="M303" s="11">
        <v>1507000000</v>
      </c>
      <c r="N303" s="11">
        <v>5.52</v>
      </c>
      <c r="O303" s="11">
        <v>655700000</v>
      </c>
      <c r="P303" s="12">
        <f t="shared" si="48"/>
        <v>0.13203933086451283</v>
      </c>
      <c r="Q303" s="12">
        <f t="shared" si="49"/>
        <v>4.8694112439132357E-3</v>
      </c>
      <c r="R303" s="12">
        <f t="shared" si="50"/>
        <v>4.6643209733338492E-2</v>
      </c>
      <c r="S303" s="12">
        <f t="shared" si="51"/>
        <v>8.1880163425227803E-2</v>
      </c>
      <c r="T303" s="12">
        <f t="shared" si="52"/>
        <v>0</v>
      </c>
      <c r="U303" s="13">
        <f t="shared" si="53"/>
        <v>0</v>
      </c>
      <c r="V303" s="13">
        <f t="shared" si="54"/>
        <v>9.0648011418330761</v>
      </c>
      <c r="W303" s="12">
        <f t="shared" si="55"/>
        <v>0</v>
      </c>
      <c r="X303" s="12">
        <f t="shared" si="56"/>
        <v>0.41641337386018235</v>
      </c>
      <c r="Y303" s="13">
        <f t="shared" si="57"/>
        <v>5.5192923593106604</v>
      </c>
      <c r="Z303" s="13">
        <f t="shared" si="58"/>
        <v>16.205930750942251</v>
      </c>
      <c r="AA303" s="13">
        <f t="shared" si="59"/>
        <v>655615942.0289855</v>
      </c>
    </row>
    <row r="304" spans="1:27" x14ac:dyDescent="0.25">
      <c r="A304" s="10" t="s">
        <v>363</v>
      </c>
      <c r="B304" s="11">
        <v>70587000000</v>
      </c>
      <c r="C304" s="11">
        <v>214963000000</v>
      </c>
      <c r="D304" s="11"/>
      <c r="E304" s="11">
        <v>88593000000</v>
      </c>
      <c r="F304" s="11">
        <v>109308000000</v>
      </c>
      <c r="G304" s="11">
        <v>48253000000</v>
      </c>
      <c r="H304" s="11">
        <v>214355000000</v>
      </c>
      <c r="I304" s="11">
        <v>395250000000</v>
      </c>
      <c r="J304" s="11">
        <v>58744000000</v>
      </c>
      <c r="K304" s="11"/>
      <c r="L304" s="11">
        <v>1602963498431.3401</v>
      </c>
      <c r="M304" s="11"/>
      <c r="N304" s="11">
        <v>27.53</v>
      </c>
      <c r="O304" s="11">
        <v>2564000000</v>
      </c>
      <c r="P304" s="12">
        <f t="shared" si="48"/>
        <v>0.32929952648643607</v>
      </c>
      <c r="Q304" s="12">
        <f t="shared" si="49"/>
        <v>0.17858823529411766</v>
      </c>
      <c r="R304" s="12">
        <f t="shared" si="50"/>
        <v>0.32836813777254692</v>
      </c>
      <c r="S304" s="12">
        <f t="shared" si="51"/>
        <v>0.41213139005317195</v>
      </c>
      <c r="T304" s="12">
        <f t="shared" si="52"/>
        <v>0</v>
      </c>
      <c r="U304" s="13">
        <f t="shared" si="53"/>
        <v>0.5374172064258792</v>
      </c>
      <c r="V304" s="13">
        <f t="shared" si="54"/>
        <v>15.202066623040766</v>
      </c>
      <c r="W304" s="12">
        <f t="shared" si="55"/>
        <v>0.1766868425003387</v>
      </c>
      <c r="X304" s="12">
        <f t="shared" si="56"/>
        <v>0</v>
      </c>
      <c r="Y304" s="13">
        <f t="shared" si="57"/>
        <v>27.53003120124805</v>
      </c>
      <c r="Z304" s="13">
        <f t="shared" si="58"/>
        <v>22.709046969432617</v>
      </c>
      <c r="AA304" s="13">
        <f t="shared" si="59"/>
        <v>2564002905.9208136</v>
      </c>
    </row>
    <row r="305" spans="1:27" x14ac:dyDescent="0.25">
      <c r="A305" s="10" t="s">
        <v>364</v>
      </c>
      <c r="B305" s="11">
        <v>182444000</v>
      </c>
      <c r="C305" s="11">
        <v>17715319000</v>
      </c>
      <c r="D305" s="11"/>
      <c r="E305" s="11">
        <v>917965000</v>
      </c>
      <c r="F305" s="11">
        <v>1963040000</v>
      </c>
      <c r="G305" s="11">
        <v>1554538000</v>
      </c>
      <c r="H305" s="11">
        <v>2643483000</v>
      </c>
      <c r="I305" s="11">
        <v>41402158000</v>
      </c>
      <c r="J305" s="11">
        <v>6403265000</v>
      </c>
      <c r="K305" s="11"/>
      <c r="L305" s="11">
        <v>11881731002.040001</v>
      </c>
      <c r="M305" s="11">
        <v>0</v>
      </c>
      <c r="N305" s="11">
        <v>0.7</v>
      </c>
      <c r="O305" s="11">
        <v>258877000</v>
      </c>
      <c r="P305" s="12">
        <f t="shared" si="48"/>
        <v>6.9016521006565953E-2</v>
      </c>
      <c r="Q305" s="12">
        <f t="shared" si="49"/>
        <v>4.4066302051211917E-3</v>
      </c>
      <c r="R305" s="12">
        <f t="shared" si="50"/>
        <v>1.0298657337189356E-2</v>
      </c>
      <c r="S305" s="12">
        <f t="shared" si="51"/>
        <v>5.1817582285704253E-2</v>
      </c>
      <c r="T305" s="12">
        <f t="shared" si="52"/>
        <v>0</v>
      </c>
      <c r="U305" s="13">
        <f t="shared" si="53"/>
        <v>3.2619126456923953</v>
      </c>
      <c r="V305" s="13">
        <f t="shared" si="54"/>
        <v>9.3146324079183316</v>
      </c>
      <c r="W305" s="12">
        <f t="shared" si="55"/>
        <v>0.17183390097745621</v>
      </c>
      <c r="X305" s="12">
        <f t="shared" si="56"/>
        <v>0</v>
      </c>
      <c r="Y305" s="13">
        <f t="shared" si="57"/>
        <v>0.70475167743754752</v>
      </c>
      <c r="Z305" s="13">
        <f t="shared" si="58"/>
        <v>65.125359025454387</v>
      </c>
      <c r="AA305" s="13">
        <f t="shared" si="59"/>
        <v>260634285.71428573</v>
      </c>
    </row>
    <row r="306" spans="1:27" x14ac:dyDescent="0.25">
      <c r="A306" s="10" t="s">
        <v>365</v>
      </c>
      <c r="B306" s="11">
        <v>1618400000</v>
      </c>
      <c r="C306" s="11">
        <v>7385800000</v>
      </c>
      <c r="D306" s="11">
        <v>2852500000</v>
      </c>
      <c r="E306" s="11">
        <v>1103700000</v>
      </c>
      <c r="F306" s="11">
        <v>1360600000</v>
      </c>
      <c r="G306" s="11">
        <v>949100000</v>
      </c>
      <c r="H306" s="11">
        <v>6298500000</v>
      </c>
      <c r="I306" s="11">
        <v>16477100000</v>
      </c>
      <c r="J306" s="11">
        <v>3606900000</v>
      </c>
      <c r="K306" s="11"/>
      <c r="L306" s="11">
        <v>13856609236.219999</v>
      </c>
      <c r="M306" s="11">
        <v>499400000</v>
      </c>
      <c r="N306" s="11">
        <v>6.01</v>
      </c>
      <c r="O306" s="11">
        <v>269300000</v>
      </c>
      <c r="P306" s="12">
        <f t="shared" si="48"/>
        <v>0.25695006747638327</v>
      </c>
      <c r="Q306" s="12">
        <f t="shared" si="49"/>
        <v>9.8221167559825448E-2</v>
      </c>
      <c r="R306" s="12">
        <f t="shared" si="50"/>
        <v>0.2191231823228357</v>
      </c>
      <c r="S306" s="12">
        <f t="shared" si="51"/>
        <v>0.14943540307075739</v>
      </c>
      <c r="T306" s="12">
        <f t="shared" si="52"/>
        <v>0.38621408649029221</v>
      </c>
      <c r="U306" s="13">
        <f t="shared" si="53"/>
        <v>2.6509628105247685</v>
      </c>
      <c r="V306" s="13">
        <f t="shared" si="54"/>
        <v>12.835153047346759</v>
      </c>
      <c r="W306" s="12">
        <f t="shared" si="55"/>
        <v>9.581642336503321E-2</v>
      </c>
      <c r="X306" s="12">
        <f t="shared" si="56"/>
        <v>0.30857637172516067</v>
      </c>
      <c r="Y306" s="13">
        <f t="shared" si="57"/>
        <v>6.0096546602302263</v>
      </c>
      <c r="Z306" s="13">
        <f t="shared" si="58"/>
        <v>8.5619187075012348</v>
      </c>
      <c r="AA306" s="13">
        <f t="shared" si="59"/>
        <v>269284525.79034942</v>
      </c>
    </row>
    <row r="307" spans="1:27" x14ac:dyDescent="0.25">
      <c r="A307" s="10" t="s">
        <v>366</v>
      </c>
      <c r="B307" s="11">
        <v>2534000000</v>
      </c>
      <c r="C307" s="11">
        <v>6159000000</v>
      </c>
      <c r="D307" s="11">
        <v>1864000000</v>
      </c>
      <c r="E307" s="11">
        <v>1405000000</v>
      </c>
      <c r="F307" s="11">
        <v>2055000000</v>
      </c>
      <c r="G307" s="11">
        <v>1034000000</v>
      </c>
      <c r="H307" s="11">
        <v>10188000000</v>
      </c>
      <c r="I307" s="11">
        <v>20497000000</v>
      </c>
      <c r="J307" s="11">
        <v>5294000000</v>
      </c>
      <c r="K307" s="11"/>
      <c r="L307" s="11">
        <v>34340251675.959999</v>
      </c>
      <c r="M307" s="11">
        <v>199000000</v>
      </c>
      <c r="N307" s="11">
        <v>41.95</v>
      </c>
      <c r="O307" s="11">
        <v>60400000</v>
      </c>
      <c r="P307" s="12">
        <f t="shared" si="48"/>
        <v>0.24872398900667453</v>
      </c>
      <c r="Q307" s="12">
        <f t="shared" si="49"/>
        <v>0.12362784797775284</v>
      </c>
      <c r="R307" s="12">
        <f t="shared" si="50"/>
        <v>0.41143042701737292</v>
      </c>
      <c r="S307" s="12">
        <f t="shared" si="51"/>
        <v>0.22812144828705957</v>
      </c>
      <c r="T307" s="12">
        <f t="shared" si="52"/>
        <v>0.30264653352817017</v>
      </c>
      <c r="U307" s="13">
        <f t="shared" si="53"/>
        <v>2.5761557177615573</v>
      </c>
      <c r="V307" s="13">
        <f t="shared" si="54"/>
        <v>19.286740474919707</v>
      </c>
      <c r="W307" s="12">
        <f t="shared" si="55"/>
        <v>6.6787236791112259E-2</v>
      </c>
      <c r="X307" s="12">
        <f t="shared" si="56"/>
        <v>7.8531965272296764E-2</v>
      </c>
      <c r="Y307" s="13">
        <f t="shared" si="57"/>
        <v>41.953642384105962</v>
      </c>
      <c r="Z307" s="13">
        <f t="shared" si="58"/>
        <v>13.551796241499606</v>
      </c>
      <c r="AA307" s="13">
        <f t="shared" si="59"/>
        <v>60405244.338498205</v>
      </c>
    </row>
    <row r="308" spans="1:27" x14ac:dyDescent="0.25">
      <c r="A308" s="10" t="s">
        <v>367</v>
      </c>
      <c r="B308" s="11">
        <v>2787000000</v>
      </c>
      <c r="C308" s="11">
        <v>25024000000</v>
      </c>
      <c r="D308" s="11"/>
      <c r="E308" s="11">
        <v>4780000000</v>
      </c>
      <c r="F308" s="11">
        <v>6124000000</v>
      </c>
      <c r="G308" s="11">
        <v>2060000000</v>
      </c>
      <c r="H308" s="11">
        <v>3863500000</v>
      </c>
      <c r="I308" s="11">
        <v>35436000000</v>
      </c>
      <c r="J308" s="11">
        <v>12602000000</v>
      </c>
      <c r="K308" s="11"/>
      <c r="L308" s="11">
        <v>81020256413.699997</v>
      </c>
      <c r="M308" s="11">
        <v>1578000000</v>
      </c>
      <c r="N308" s="11">
        <v>5.23</v>
      </c>
      <c r="O308" s="11">
        <v>532800000</v>
      </c>
      <c r="P308" s="12">
        <f t="shared" si="48"/>
        <v>0.72136663646952248</v>
      </c>
      <c r="Q308" s="12">
        <f t="shared" si="49"/>
        <v>7.8648831696579755E-2</v>
      </c>
      <c r="R308" s="12">
        <f t="shared" si="50"/>
        <v>0.11137308184143223</v>
      </c>
      <c r="S308" s="12">
        <f t="shared" si="51"/>
        <v>0.19101662404092071</v>
      </c>
      <c r="T308" s="12">
        <f t="shared" si="52"/>
        <v>0</v>
      </c>
      <c r="U308" s="13">
        <f t="shared" si="53"/>
        <v>2.0578053559764862</v>
      </c>
      <c r="V308" s="13">
        <f t="shared" si="54"/>
        <v>15.287762314451339</v>
      </c>
      <c r="W308" s="12">
        <f t="shared" si="55"/>
        <v>0.12511007864929702</v>
      </c>
      <c r="X308" s="12">
        <f t="shared" si="56"/>
        <v>0.56620021528525299</v>
      </c>
      <c r="Y308" s="13">
        <f t="shared" si="57"/>
        <v>5.2308558558558556</v>
      </c>
      <c r="Z308" s="13">
        <f t="shared" si="58"/>
        <v>29.070777328202368</v>
      </c>
      <c r="AA308" s="13">
        <f t="shared" si="59"/>
        <v>532887189.29254299</v>
      </c>
    </row>
    <row r="309" spans="1:27" x14ac:dyDescent="0.25">
      <c r="A309" s="10" t="s">
        <v>368</v>
      </c>
      <c r="B309" s="11">
        <v>2031924000</v>
      </c>
      <c r="C309" s="11">
        <v>8793076000</v>
      </c>
      <c r="D309" s="11">
        <v>4877582000</v>
      </c>
      <c r="E309" s="11">
        <v>2579567000</v>
      </c>
      <c r="F309" s="11">
        <v>2697560000</v>
      </c>
      <c r="G309" s="11">
        <v>2071740000</v>
      </c>
      <c r="H309" s="11">
        <v>7623237000</v>
      </c>
      <c r="I309" s="11">
        <v>10843533000</v>
      </c>
      <c r="J309" s="11">
        <v>199059000</v>
      </c>
      <c r="K309" s="11"/>
      <c r="L309" s="11">
        <v>94426686005.139999</v>
      </c>
      <c r="M309" s="11"/>
      <c r="N309" s="11">
        <v>2.06</v>
      </c>
      <c r="O309" s="11">
        <v>988258000</v>
      </c>
      <c r="P309" s="12">
        <f t="shared" si="48"/>
        <v>0.26654346441019738</v>
      </c>
      <c r="Q309" s="12">
        <f t="shared" si="49"/>
        <v>0.18738579022169249</v>
      </c>
      <c r="R309" s="12">
        <f t="shared" si="50"/>
        <v>0.23108227428035422</v>
      </c>
      <c r="S309" s="12">
        <f t="shared" si="51"/>
        <v>0.29336343732272985</v>
      </c>
      <c r="T309" s="12">
        <f t="shared" si="52"/>
        <v>0.55470713547796013</v>
      </c>
      <c r="U309" s="13">
        <f t="shared" si="53"/>
        <v>7.3792241877845166E-2</v>
      </c>
      <c r="V309" s="13">
        <f t="shared" si="54"/>
        <v>35.07827258898412</v>
      </c>
      <c r="W309" s="12">
        <f t="shared" si="55"/>
        <v>0.26485062697704104</v>
      </c>
      <c r="X309" s="12">
        <f t="shared" si="56"/>
        <v>0</v>
      </c>
      <c r="Y309" s="13">
        <f t="shared" si="57"/>
        <v>2.0560663308569218</v>
      </c>
      <c r="Z309" s="13">
        <f t="shared" si="58"/>
        <v>46.471563899604512</v>
      </c>
      <c r="AA309" s="13">
        <f t="shared" si="59"/>
        <v>986370873.78640771</v>
      </c>
    </row>
    <row r="310" spans="1:27" x14ac:dyDescent="0.25">
      <c r="A310" s="10" t="s">
        <v>369</v>
      </c>
      <c r="B310" s="11">
        <v>8053000000</v>
      </c>
      <c r="C310" s="11">
        <v>23448000000</v>
      </c>
      <c r="D310" s="11">
        <v>14799000000</v>
      </c>
      <c r="E310" s="11">
        <v>11067000000</v>
      </c>
      <c r="F310" s="11">
        <v>11318000000</v>
      </c>
      <c r="G310" s="11">
        <v>8623000000</v>
      </c>
      <c r="H310" s="11">
        <v>-3360500000</v>
      </c>
      <c r="I310" s="11">
        <v>34584000000</v>
      </c>
      <c r="J310" s="11">
        <v>24602000000</v>
      </c>
      <c r="K310" s="11"/>
      <c r="L310" s="11">
        <v>119547507398.33</v>
      </c>
      <c r="M310" s="11">
        <v>7010000000</v>
      </c>
      <c r="N310" s="11">
        <v>4.8099999999999996</v>
      </c>
      <c r="O310" s="11">
        <v>1673000000</v>
      </c>
      <c r="P310" s="12">
        <f t="shared" si="48"/>
        <v>-2.3963695878589495</v>
      </c>
      <c r="Q310" s="12">
        <f t="shared" si="49"/>
        <v>0.23285334258616702</v>
      </c>
      <c r="R310" s="12">
        <f t="shared" si="50"/>
        <v>0.34344080518594339</v>
      </c>
      <c r="S310" s="12">
        <f t="shared" si="51"/>
        <v>0.47198055271238487</v>
      </c>
      <c r="T310" s="12">
        <f t="shared" si="52"/>
        <v>0.6311412487205732</v>
      </c>
      <c r="U310" s="13">
        <f t="shared" si="53"/>
        <v>2.1737056016964127</v>
      </c>
      <c r="V310" s="13">
        <f t="shared" si="54"/>
        <v>12.736305654561761</v>
      </c>
      <c r="W310" s="12">
        <f t="shared" si="55"/>
        <v>0.40595061554033379</v>
      </c>
      <c r="X310" s="12">
        <f t="shared" si="56"/>
        <v>0.87048304979510738</v>
      </c>
      <c r="Y310" s="13">
        <f t="shared" si="57"/>
        <v>4.8135086670651521</v>
      </c>
      <c r="Z310" s="13">
        <f t="shared" si="58"/>
        <v>14.845089705492363</v>
      </c>
      <c r="AA310" s="13">
        <f t="shared" si="59"/>
        <v>1674220374.2203743</v>
      </c>
    </row>
    <row r="311" spans="1:27" x14ac:dyDescent="0.25">
      <c r="A311" s="10" t="s">
        <v>370</v>
      </c>
      <c r="B311" s="11">
        <v>45000000</v>
      </c>
      <c r="C311" s="11">
        <v>12429500000</v>
      </c>
      <c r="D311" s="11">
        <v>1649100000</v>
      </c>
      <c r="E311" s="11">
        <v>110100000</v>
      </c>
      <c r="F311" s="11">
        <v>1233600000</v>
      </c>
      <c r="G311" s="11">
        <v>-489300000</v>
      </c>
      <c r="H311" s="11">
        <v>11787450000</v>
      </c>
      <c r="I311" s="11">
        <v>24568500000</v>
      </c>
      <c r="J311" s="11"/>
      <c r="K311" s="11"/>
      <c r="L311" s="11">
        <v>6595317863</v>
      </c>
      <c r="M311" s="11">
        <v>280300000</v>
      </c>
      <c r="N311" s="11">
        <v>0.14000000000000001</v>
      </c>
      <c r="O311" s="11">
        <v>317500000</v>
      </c>
      <c r="P311" s="12">
        <f t="shared" si="48"/>
        <v>3.8176195869335607E-3</v>
      </c>
      <c r="Q311" s="12">
        <f t="shared" si="49"/>
        <v>1.8316136516270834E-3</v>
      </c>
      <c r="R311" s="12">
        <f t="shared" si="50"/>
        <v>3.620419164085442E-3</v>
      </c>
      <c r="S311" s="12">
        <f t="shared" si="51"/>
        <v>8.8579588881290486E-3</v>
      </c>
      <c r="T311" s="12">
        <f t="shared" si="52"/>
        <v>0.13267629429985117</v>
      </c>
      <c r="U311" s="13">
        <f t="shared" si="53"/>
        <v>0</v>
      </c>
      <c r="V311" s="13">
        <f t="shared" si="54"/>
        <v>5.3463990458819719</v>
      </c>
      <c r="W311" s="12">
        <f t="shared" si="55"/>
        <v>-4.1510250308590915E-2</v>
      </c>
      <c r="X311" s="12">
        <f t="shared" si="56"/>
        <v>6.2288888888888891</v>
      </c>
      <c r="Y311" s="13">
        <f t="shared" si="57"/>
        <v>0.14173228346456693</v>
      </c>
      <c r="Z311" s="13">
        <f t="shared" si="58"/>
        <v>146.56261917777778</v>
      </c>
      <c r="AA311" s="13">
        <f t="shared" si="59"/>
        <v>321428571.4285714</v>
      </c>
    </row>
    <row r="312" spans="1:27" x14ac:dyDescent="0.25">
      <c r="A312" s="10" t="s">
        <v>371</v>
      </c>
      <c r="B312" s="11">
        <v>4632000000</v>
      </c>
      <c r="C312" s="11">
        <v>135382000000</v>
      </c>
      <c r="D312" s="11"/>
      <c r="E312" s="11">
        <v>9008000000</v>
      </c>
      <c r="F312" s="11">
        <v>12275000000</v>
      </c>
      <c r="G312" s="11">
        <v>5702000000</v>
      </c>
      <c r="H312" s="11">
        <v>16574500000</v>
      </c>
      <c r="I312" s="11">
        <v>88187000000</v>
      </c>
      <c r="J312" s="11"/>
      <c r="K312" s="11"/>
      <c r="L312" s="11">
        <v>82705645131.820007</v>
      </c>
      <c r="M312" s="11">
        <v>1150000000</v>
      </c>
      <c r="N312" s="11">
        <v>15.7</v>
      </c>
      <c r="O312" s="11">
        <v>295000000</v>
      </c>
      <c r="P312" s="12">
        <f t="shared" si="48"/>
        <v>0.2794654439047935</v>
      </c>
      <c r="Q312" s="12">
        <f t="shared" si="49"/>
        <v>5.2524748545704013E-2</v>
      </c>
      <c r="R312" s="12">
        <f t="shared" si="50"/>
        <v>3.4214297321652806E-2</v>
      </c>
      <c r="S312" s="12">
        <f t="shared" si="51"/>
        <v>6.6537649022765211E-2</v>
      </c>
      <c r="T312" s="12">
        <f t="shared" si="52"/>
        <v>0</v>
      </c>
      <c r="U312" s="13">
        <f t="shared" si="53"/>
        <v>0</v>
      </c>
      <c r="V312" s="13">
        <f t="shared" si="54"/>
        <v>6.7377307643030555</v>
      </c>
      <c r="W312" s="12">
        <f t="shared" si="55"/>
        <v>0.34402244411596128</v>
      </c>
      <c r="X312" s="12">
        <f t="shared" si="56"/>
        <v>0.24827288428324698</v>
      </c>
      <c r="Y312" s="13">
        <f t="shared" si="57"/>
        <v>15.701694915254237</v>
      </c>
      <c r="Z312" s="13">
        <f t="shared" si="58"/>
        <v>17.855277446420555</v>
      </c>
      <c r="AA312" s="13">
        <f t="shared" si="59"/>
        <v>295031847.13375795</v>
      </c>
    </row>
    <row r="313" spans="1:27" x14ac:dyDescent="0.25">
      <c r="A313" s="10" t="s">
        <v>372</v>
      </c>
      <c r="B313" s="11">
        <v>680918000</v>
      </c>
      <c r="C313" s="11">
        <v>2957090000</v>
      </c>
      <c r="D313" s="11">
        <v>1631576000</v>
      </c>
      <c r="E313" s="11">
        <v>801029000</v>
      </c>
      <c r="F313" s="11">
        <v>857199000</v>
      </c>
      <c r="G313" s="11">
        <v>629548000</v>
      </c>
      <c r="H313" s="11">
        <v>3375519500</v>
      </c>
      <c r="I313" s="11">
        <v>4448866000</v>
      </c>
      <c r="J313" s="11"/>
      <c r="K313" s="11"/>
      <c r="L313" s="11">
        <v>67509999902.599998</v>
      </c>
      <c r="M313" s="11">
        <v>303188000</v>
      </c>
      <c r="N313" s="11">
        <v>13.83</v>
      </c>
      <c r="O313" s="11">
        <v>49242000</v>
      </c>
      <c r="P313" s="12">
        <f t="shared" si="48"/>
        <v>0.20172243116948368</v>
      </c>
      <c r="Q313" s="12">
        <f t="shared" si="49"/>
        <v>0.15305428394561671</v>
      </c>
      <c r="R313" s="12">
        <f t="shared" si="50"/>
        <v>0.23026624147388142</v>
      </c>
      <c r="S313" s="12">
        <f t="shared" si="51"/>
        <v>0.2708842138724219</v>
      </c>
      <c r="T313" s="12">
        <f t="shared" si="52"/>
        <v>0.55175053853619604</v>
      </c>
      <c r="U313" s="13">
        <f t="shared" si="53"/>
        <v>0</v>
      </c>
      <c r="V313" s="13">
        <f t="shared" si="54"/>
        <v>78.756508001759215</v>
      </c>
      <c r="W313" s="12">
        <f t="shared" si="55"/>
        <v>0.18650403293478232</v>
      </c>
      <c r="X313" s="12">
        <f t="shared" si="56"/>
        <v>0.44526360002232279</v>
      </c>
      <c r="Y313" s="13">
        <f t="shared" si="57"/>
        <v>13.827992364241908</v>
      </c>
      <c r="Z313" s="13">
        <f t="shared" si="58"/>
        <v>99.145565108574004</v>
      </c>
      <c r="AA313" s="13">
        <f t="shared" si="59"/>
        <v>49234851.771511205</v>
      </c>
    </row>
    <row r="314" spans="1:27" x14ac:dyDescent="0.25">
      <c r="A314" s="10" t="s">
        <v>373</v>
      </c>
      <c r="B314" s="11">
        <v>8935000000</v>
      </c>
      <c r="C314" s="11">
        <v>65768000000</v>
      </c>
      <c r="D314" s="11"/>
      <c r="E314" s="11"/>
      <c r="F314" s="11"/>
      <c r="G314" s="11">
        <v>14115000000</v>
      </c>
      <c r="H314" s="11">
        <v>47106500000</v>
      </c>
      <c r="I314" s="11">
        <v>128685000000</v>
      </c>
      <c r="J314" s="11">
        <v>46673000000</v>
      </c>
      <c r="K314" s="11"/>
      <c r="L314" s="11">
        <v>308900938830.32001</v>
      </c>
      <c r="M314" s="11">
        <v>8231000000</v>
      </c>
      <c r="N314" s="11">
        <v>3.61</v>
      </c>
      <c r="O314" s="11">
        <v>2472000000</v>
      </c>
      <c r="P314" s="12">
        <f t="shared" si="48"/>
        <v>0.18967658391092523</v>
      </c>
      <c r="Q314" s="12">
        <f t="shared" si="49"/>
        <v>6.9433111862299418E-2</v>
      </c>
      <c r="R314" s="12">
        <f t="shared" si="50"/>
        <v>0.13585634351052184</v>
      </c>
      <c r="S314" s="12">
        <f t="shared" si="51"/>
        <v>0</v>
      </c>
      <c r="T314" s="12">
        <f t="shared" si="52"/>
        <v>0</v>
      </c>
      <c r="U314" s="13" t="str">
        <f t="shared" si="53"/>
        <v/>
      </c>
      <c r="V314" s="13" t="str">
        <f t="shared" si="54"/>
        <v/>
      </c>
      <c r="W314" s="12">
        <f t="shared" si="55"/>
        <v>0.15051263868969231</v>
      </c>
      <c r="X314" s="12">
        <f t="shared" si="56"/>
        <v>0.92120872971460543</v>
      </c>
      <c r="Y314" s="13">
        <f t="shared" si="57"/>
        <v>3.6144822006472492</v>
      </c>
      <c r="Z314" s="13">
        <f t="shared" si="58"/>
        <v>34.572013299420256</v>
      </c>
      <c r="AA314" s="13">
        <f t="shared" si="59"/>
        <v>2475069252.0775623</v>
      </c>
    </row>
    <row r="315" spans="1:27" x14ac:dyDescent="0.25">
      <c r="A315" s="10" t="s">
        <v>374</v>
      </c>
      <c r="B315" s="11">
        <v>-3194000000</v>
      </c>
      <c r="C315" s="11">
        <v>10654000000</v>
      </c>
      <c r="D315" s="11"/>
      <c r="E315" s="11">
        <v>-3412000000</v>
      </c>
      <c r="F315" s="11">
        <v>-3183000000</v>
      </c>
      <c r="G315" s="11">
        <v>-1603000000</v>
      </c>
      <c r="H315" s="11">
        <v>8737000000</v>
      </c>
      <c r="I315" s="11">
        <v>11488000000</v>
      </c>
      <c r="J315" s="11">
        <v>590000000</v>
      </c>
      <c r="K315" s="11"/>
      <c r="L315" s="11">
        <v>30377955020.32</v>
      </c>
      <c r="M315" s="11"/>
      <c r="N315" s="11">
        <v>-8.09</v>
      </c>
      <c r="O315" s="11">
        <v>395000000</v>
      </c>
      <c r="P315" s="12">
        <f t="shared" si="48"/>
        <v>-0.36557170653542403</v>
      </c>
      <c r="Q315" s="12">
        <f t="shared" si="49"/>
        <v>-0.27802924791086353</v>
      </c>
      <c r="R315" s="12">
        <f t="shared" si="50"/>
        <v>-0.29979350478693451</v>
      </c>
      <c r="S315" s="12">
        <f t="shared" si="51"/>
        <v>-0.32025530317251738</v>
      </c>
      <c r="T315" s="12">
        <f t="shared" si="52"/>
        <v>0</v>
      </c>
      <c r="U315" s="13">
        <f t="shared" si="53"/>
        <v>-0.18535972353125982</v>
      </c>
      <c r="V315" s="13">
        <f t="shared" si="54"/>
        <v>-9.7291721710084822</v>
      </c>
      <c r="W315" s="12">
        <f t="shared" si="55"/>
        <v>-0.17186662378042242</v>
      </c>
      <c r="X315" s="12">
        <f t="shared" si="56"/>
        <v>0</v>
      </c>
      <c r="Y315" s="13">
        <f t="shared" si="57"/>
        <v>-8.0860759493670891</v>
      </c>
      <c r="Z315" s="13">
        <f t="shared" si="58"/>
        <v>-9.5109439637820916</v>
      </c>
      <c r="AA315" s="13">
        <f t="shared" si="59"/>
        <v>394808405.43881333</v>
      </c>
    </row>
    <row r="316" spans="1:27" x14ac:dyDescent="0.25">
      <c r="A316" s="10" t="s">
        <v>375</v>
      </c>
      <c r="B316" s="11">
        <v>3925000000</v>
      </c>
      <c r="C316" s="11">
        <v>27517000000</v>
      </c>
      <c r="D316" s="11"/>
      <c r="E316" s="11">
        <v>5972000000</v>
      </c>
      <c r="F316" s="11">
        <v>6334000000</v>
      </c>
      <c r="G316" s="11">
        <v>4928000000</v>
      </c>
      <c r="H316" s="11"/>
      <c r="I316" s="11">
        <v>58552000000</v>
      </c>
      <c r="J316" s="11">
        <v>19553000000</v>
      </c>
      <c r="K316" s="11"/>
      <c r="L316" s="11">
        <v>86241215679</v>
      </c>
      <c r="M316" s="11">
        <v>1734000000</v>
      </c>
      <c r="N316" s="11">
        <v>8.08</v>
      </c>
      <c r="O316" s="11">
        <v>486000000</v>
      </c>
      <c r="P316" s="12" t="str">
        <f t="shared" si="48"/>
        <v/>
      </c>
      <c r="Q316" s="12">
        <f t="shared" si="49"/>
        <v>6.7034430933187589E-2</v>
      </c>
      <c r="R316" s="12">
        <f t="shared" si="50"/>
        <v>0.1426390958316677</v>
      </c>
      <c r="S316" s="12">
        <f t="shared" si="51"/>
        <v>0.21702947268961006</v>
      </c>
      <c r="T316" s="12">
        <f t="shared" si="52"/>
        <v>0</v>
      </c>
      <c r="U316" s="13">
        <f t="shared" si="53"/>
        <v>3.0869908430691506</v>
      </c>
      <c r="V316" s="13">
        <f t="shared" si="54"/>
        <v>16.702591676507737</v>
      </c>
      <c r="W316" s="12">
        <f t="shared" si="55"/>
        <v>0.25203293612233418</v>
      </c>
      <c r="X316" s="12">
        <f t="shared" si="56"/>
        <v>0.44178343949044585</v>
      </c>
      <c r="Y316" s="13">
        <f t="shared" si="57"/>
        <v>8.076131687242798</v>
      </c>
      <c r="Z316" s="13">
        <f t="shared" si="58"/>
        <v>21.972284249426753</v>
      </c>
      <c r="AA316" s="13">
        <f t="shared" si="59"/>
        <v>485767326.73267329</v>
      </c>
    </row>
    <row r="317" spans="1:27" x14ac:dyDescent="0.25">
      <c r="A317" s="10" t="s">
        <v>376</v>
      </c>
      <c r="B317" s="11">
        <v>2526700000</v>
      </c>
      <c r="C317" s="11">
        <v>8717100000</v>
      </c>
      <c r="D317" s="11">
        <v>4489100000</v>
      </c>
      <c r="E317" s="11">
        <v>1391700000</v>
      </c>
      <c r="F317" s="11">
        <v>1696600000</v>
      </c>
      <c r="G317" s="11">
        <v>1665400000</v>
      </c>
      <c r="H317" s="11">
        <v>15764250000</v>
      </c>
      <c r="I317" s="11">
        <v>26944500000</v>
      </c>
      <c r="J317" s="11">
        <v>4961300000</v>
      </c>
      <c r="K317" s="11"/>
      <c r="L317" s="11">
        <v>212812599737.54999</v>
      </c>
      <c r="M317" s="11">
        <v>207100000</v>
      </c>
      <c r="N317" s="11">
        <v>2.83</v>
      </c>
      <c r="O317" s="11">
        <v>893300000</v>
      </c>
      <c r="P317" s="12">
        <f t="shared" si="48"/>
        <v>0.16028038124236801</v>
      </c>
      <c r="Q317" s="12">
        <f t="shared" si="49"/>
        <v>9.377423964074301E-2</v>
      </c>
      <c r="R317" s="12">
        <f t="shared" si="50"/>
        <v>0.28985557123355243</v>
      </c>
      <c r="S317" s="12">
        <f t="shared" si="51"/>
        <v>0.15965171903500017</v>
      </c>
      <c r="T317" s="12">
        <f t="shared" si="52"/>
        <v>0.51497631092909335</v>
      </c>
      <c r="U317" s="13">
        <f t="shared" si="53"/>
        <v>2.9242602852764352</v>
      </c>
      <c r="V317" s="13">
        <f t="shared" si="54"/>
        <v>128.35901198723917</v>
      </c>
      <c r="W317" s="12">
        <f t="shared" si="55"/>
        <v>8.0354924236027511E-2</v>
      </c>
      <c r="X317" s="12">
        <f t="shared" si="56"/>
        <v>8.1964617881030599E-2</v>
      </c>
      <c r="Y317" s="13">
        <f t="shared" si="57"/>
        <v>2.8285010634725176</v>
      </c>
      <c r="Z317" s="13">
        <f t="shared" si="58"/>
        <v>84.225511432916448</v>
      </c>
      <c r="AA317" s="13">
        <f t="shared" si="59"/>
        <v>892826855.12367487</v>
      </c>
    </row>
    <row r="318" spans="1:27" x14ac:dyDescent="0.25">
      <c r="A318" s="10" t="s">
        <v>377</v>
      </c>
      <c r="B318" s="11">
        <v>18113000000</v>
      </c>
      <c r="C318" s="11"/>
      <c r="D318" s="11"/>
      <c r="E318" s="11"/>
      <c r="F318" s="11"/>
      <c r="G318" s="11"/>
      <c r="H318" s="11">
        <v>110549000000</v>
      </c>
      <c r="I318" s="11">
        <v>1581418000000</v>
      </c>
      <c r="J318" s="11">
        <v>363010000000</v>
      </c>
      <c r="K318" s="11"/>
      <c r="L318" s="11">
        <v>350362284101.79999</v>
      </c>
      <c r="M318" s="11">
        <v>6685000000</v>
      </c>
      <c r="N318" s="11">
        <v>11.49</v>
      </c>
      <c r="O318" s="11">
        <v>1576000000</v>
      </c>
      <c r="P318" s="12">
        <f t="shared" si="48"/>
        <v>0.16384589638983618</v>
      </c>
      <c r="Q318" s="12">
        <f t="shared" si="49"/>
        <v>1.1453644766911721E-2</v>
      </c>
      <c r="R318" s="12" t="str">
        <f t="shared" si="50"/>
        <v/>
      </c>
      <c r="S318" s="12" t="str">
        <f t="shared" si="51"/>
        <v/>
      </c>
      <c r="T318" s="12" t="str">
        <f t="shared" si="52"/>
        <v/>
      </c>
      <c r="U318" s="13" t="str">
        <f t="shared" si="53"/>
        <v/>
      </c>
      <c r="V318" s="13" t="str">
        <f t="shared" si="54"/>
        <v/>
      </c>
      <c r="W318" s="12">
        <f t="shared" si="55"/>
        <v>0</v>
      </c>
      <c r="X318" s="12">
        <f t="shared" si="56"/>
        <v>0.36907193728261467</v>
      </c>
      <c r="Y318" s="13">
        <f t="shared" si="57"/>
        <v>11.493020304568528</v>
      </c>
      <c r="Z318" s="13">
        <f t="shared" si="58"/>
        <v>19.343139408259262</v>
      </c>
      <c r="AA318" s="13">
        <f t="shared" si="59"/>
        <v>1576414273.2811141</v>
      </c>
    </row>
    <row r="319" spans="1:27" x14ac:dyDescent="0.25">
      <c r="A319" s="10" t="s">
        <v>378</v>
      </c>
      <c r="B319" s="11">
        <v>1319705000</v>
      </c>
      <c r="C319" s="11">
        <v>3239433000</v>
      </c>
      <c r="D319" s="11"/>
      <c r="E319" s="11">
        <v>1793444000</v>
      </c>
      <c r="F319" s="11">
        <v>1818003000</v>
      </c>
      <c r="G319" s="11">
        <v>1562890000</v>
      </c>
      <c r="H319" s="11">
        <v>-1866350000</v>
      </c>
      <c r="I319" s="11">
        <v>5545300000</v>
      </c>
      <c r="J319" s="11">
        <v>6403800000</v>
      </c>
      <c r="K319" s="11"/>
      <c r="L319" s="11">
        <v>43880190857.620003</v>
      </c>
      <c r="M319" s="11">
        <v>563237000</v>
      </c>
      <c r="N319" s="11">
        <v>17.98</v>
      </c>
      <c r="O319" s="11">
        <v>73400000</v>
      </c>
      <c r="P319" s="12">
        <f t="shared" si="48"/>
        <v>-0.70710477670319072</v>
      </c>
      <c r="Q319" s="12">
        <f t="shared" si="49"/>
        <v>0.23798622256685842</v>
      </c>
      <c r="R319" s="12">
        <f t="shared" si="50"/>
        <v>0.40738765086359247</v>
      </c>
      <c r="S319" s="12">
        <f t="shared" si="51"/>
        <v>0.55362898383760373</v>
      </c>
      <c r="T319" s="12">
        <f t="shared" si="52"/>
        <v>0</v>
      </c>
      <c r="U319" s="13">
        <f t="shared" si="53"/>
        <v>3.5224364316230501</v>
      </c>
      <c r="V319" s="13">
        <f t="shared" si="54"/>
        <v>27.658915226003479</v>
      </c>
      <c r="W319" s="12">
        <f t="shared" si="55"/>
        <v>0.3444423630012452</v>
      </c>
      <c r="X319" s="12">
        <f t="shared" si="56"/>
        <v>0.4267900780856328</v>
      </c>
      <c r="Y319" s="13">
        <f t="shared" si="57"/>
        <v>17.979632152588557</v>
      </c>
      <c r="Z319" s="13">
        <f t="shared" si="58"/>
        <v>33.249999702675979</v>
      </c>
      <c r="AA319" s="13">
        <f t="shared" si="59"/>
        <v>73398498.331479415</v>
      </c>
    </row>
    <row r="320" spans="1:27" x14ac:dyDescent="0.25">
      <c r="A320" s="10" t="s">
        <v>379</v>
      </c>
      <c r="B320" s="11">
        <v>125216000000</v>
      </c>
      <c r="C320" s="11">
        <v>318273000000</v>
      </c>
      <c r="D320" s="11">
        <v>217410000000</v>
      </c>
      <c r="E320" s="11">
        <v>148957000000</v>
      </c>
      <c r="F320" s="11">
        <v>179257000000</v>
      </c>
      <c r="G320" s="11">
        <v>72916000000</v>
      </c>
      <c r="H320" s="11">
        <v>368129000000</v>
      </c>
      <c r="I320" s="11">
        <v>694228000000</v>
      </c>
      <c r="J320" s="11">
        <v>40262000000</v>
      </c>
      <c r="K320" s="11"/>
      <c r="L320" s="11">
        <v>2855193054014.48</v>
      </c>
      <c r="M320" s="11">
        <v>25856000000</v>
      </c>
      <c r="N320" s="11">
        <v>16.79</v>
      </c>
      <c r="O320" s="11">
        <v>7457000000</v>
      </c>
      <c r="P320" s="12">
        <f t="shared" si="48"/>
        <v>0.3401416351333364</v>
      </c>
      <c r="Q320" s="12">
        <f t="shared" si="49"/>
        <v>0.1803672568666202</v>
      </c>
      <c r="R320" s="12">
        <f t="shared" si="50"/>
        <v>0.39342325613545603</v>
      </c>
      <c r="S320" s="12">
        <f t="shared" si="51"/>
        <v>0.4680164512855316</v>
      </c>
      <c r="T320" s="12">
        <f t="shared" si="52"/>
        <v>0.68309281654428744</v>
      </c>
      <c r="U320" s="13">
        <f t="shared" si="53"/>
        <v>0.22460489687989868</v>
      </c>
      <c r="V320" s="13">
        <f t="shared" si="54"/>
        <v>16.152535488234658</v>
      </c>
      <c r="W320" s="12">
        <f t="shared" si="55"/>
        <v>0.1785445810510026</v>
      </c>
      <c r="X320" s="12">
        <f t="shared" si="56"/>
        <v>0.20649118323536927</v>
      </c>
      <c r="Y320" s="13">
        <f t="shared" si="57"/>
        <v>16.791739305350678</v>
      </c>
      <c r="Z320" s="13">
        <f t="shared" si="58"/>
        <v>22.802142330169307</v>
      </c>
      <c r="AA320" s="13">
        <f t="shared" si="59"/>
        <v>7457772483.6212034</v>
      </c>
    </row>
    <row r="321" spans="1:27" x14ac:dyDescent="0.25">
      <c r="A321" s="10" t="s">
        <v>380</v>
      </c>
      <c r="B321" s="11">
        <v>2090000000</v>
      </c>
      <c r="C321" s="11">
        <v>11868000000</v>
      </c>
      <c r="D321" s="11">
        <v>6097000000</v>
      </c>
      <c r="E321" s="11">
        <v>2931000000</v>
      </c>
      <c r="F321" s="11">
        <v>3418000000</v>
      </c>
      <c r="G321" s="11">
        <v>2488000000</v>
      </c>
      <c r="H321" s="11">
        <v>2092500000</v>
      </c>
      <c r="I321" s="11">
        <v>19080000000</v>
      </c>
      <c r="J321" s="11">
        <v>8415000000</v>
      </c>
      <c r="K321" s="11"/>
      <c r="L321" s="11">
        <v>69255015347.800003</v>
      </c>
      <c r="M321" s="11">
        <v>747000000</v>
      </c>
      <c r="N321" s="11">
        <v>12.44</v>
      </c>
      <c r="O321" s="11">
        <v>168000000</v>
      </c>
      <c r="P321" s="12">
        <f t="shared" si="48"/>
        <v>0.99880525686977295</v>
      </c>
      <c r="Q321" s="12">
        <f t="shared" si="49"/>
        <v>0.10953878406708595</v>
      </c>
      <c r="R321" s="12">
        <f t="shared" si="50"/>
        <v>0.17610380856083585</v>
      </c>
      <c r="S321" s="12">
        <f t="shared" si="51"/>
        <v>0.24696663296258847</v>
      </c>
      <c r="T321" s="12">
        <f t="shared" si="52"/>
        <v>0.51373441186383551</v>
      </c>
      <c r="U321" s="13">
        <f t="shared" si="53"/>
        <v>2.4619660620245756</v>
      </c>
      <c r="V321" s="13">
        <f t="shared" si="54"/>
        <v>22.723819586834406</v>
      </c>
      <c r="W321" s="12">
        <f t="shared" si="55"/>
        <v>0.23678325005948131</v>
      </c>
      <c r="X321" s="12">
        <f t="shared" si="56"/>
        <v>0.35741626794258374</v>
      </c>
      <c r="Y321" s="13">
        <f t="shared" si="57"/>
        <v>12.44047619047619</v>
      </c>
      <c r="Z321" s="13">
        <f t="shared" si="58"/>
        <v>33.136370979808611</v>
      </c>
      <c r="AA321" s="13">
        <f t="shared" si="59"/>
        <v>168006430.86816722</v>
      </c>
    </row>
    <row r="322" spans="1:27" x14ac:dyDescent="0.25">
      <c r="A322" s="10" t="s">
        <v>381</v>
      </c>
      <c r="B322" s="11">
        <v>2931000000</v>
      </c>
      <c r="C322" s="11">
        <v>9643000000</v>
      </c>
      <c r="D322" s="11"/>
      <c r="E322" s="11"/>
      <c r="F322" s="11"/>
      <c r="G322" s="11">
        <v>3124000000</v>
      </c>
      <c r="H322" s="11">
        <v>28481500000</v>
      </c>
      <c r="I322" s="11">
        <v>214736000000</v>
      </c>
      <c r="J322" s="11">
        <v>11175000000</v>
      </c>
      <c r="K322" s="11"/>
      <c r="L322" s="11">
        <v>34845137933.93</v>
      </c>
      <c r="M322" s="11">
        <v>901000000</v>
      </c>
      <c r="N322" s="11">
        <v>19.53</v>
      </c>
      <c r="O322" s="11">
        <v>150109000</v>
      </c>
      <c r="P322" s="12">
        <f t="shared" si="48"/>
        <v>0.10290890578094553</v>
      </c>
      <c r="Q322" s="12">
        <f t="shared" si="49"/>
        <v>1.3649318232620521E-2</v>
      </c>
      <c r="R322" s="12">
        <f t="shared" si="50"/>
        <v>0.30395105257699884</v>
      </c>
      <c r="S322" s="12">
        <f t="shared" si="51"/>
        <v>0</v>
      </c>
      <c r="T322" s="12">
        <f t="shared" si="52"/>
        <v>0</v>
      </c>
      <c r="U322" s="13" t="str">
        <f t="shared" si="53"/>
        <v/>
      </c>
      <c r="V322" s="13" t="str">
        <f t="shared" si="54"/>
        <v/>
      </c>
      <c r="W322" s="12">
        <f t="shared" si="55"/>
        <v>7.8776493134795053E-2</v>
      </c>
      <c r="X322" s="12">
        <f t="shared" si="56"/>
        <v>0.30740361651313547</v>
      </c>
      <c r="Y322" s="13">
        <f t="shared" si="57"/>
        <v>19.525811243829484</v>
      </c>
      <c r="Z322" s="13">
        <f t="shared" si="58"/>
        <v>11.888481041941317</v>
      </c>
      <c r="AA322" s="13">
        <f t="shared" si="59"/>
        <v>150076804.91551459</v>
      </c>
    </row>
    <row r="323" spans="1:27" x14ac:dyDescent="0.25">
      <c r="A323" s="10" t="s">
        <v>382</v>
      </c>
      <c r="B323" s="11">
        <v>875060000</v>
      </c>
      <c r="C323" s="11">
        <v>4089782000</v>
      </c>
      <c r="D323" s="11">
        <v>2420583000</v>
      </c>
      <c r="E323" s="11"/>
      <c r="F323" s="11"/>
      <c r="G323" s="11">
        <v>793834000</v>
      </c>
      <c r="H323" s="11">
        <v>-111932500</v>
      </c>
      <c r="I323" s="11">
        <v>3668915000</v>
      </c>
      <c r="J323" s="11">
        <v>2088241000</v>
      </c>
      <c r="K323" s="11"/>
      <c r="L323" s="11">
        <v>26027794634.700001</v>
      </c>
      <c r="M323" s="11"/>
      <c r="N323" s="11">
        <v>43.03</v>
      </c>
      <c r="O323" s="11">
        <v>20338274</v>
      </c>
      <c r="P323" s="12">
        <f t="shared" ref="P323:P386" si="60">IFERROR(B323/H323,"")</f>
        <v>-7.817747303062113</v>
      </c>
      <c r="Q323" s="12">
        <f t="shared" ref="Q323:Q386" si="61">IFERROR(B323/I323,"")</f>
        <v>0.23850647943601855</v>
      </c>
      <c r="R323" s="12">
        <f t="shared" ref="R323:R386" si="62">IFERROR(B323/C323,"")</f>
        <v>0.21396250460293484</v>
      </c>
      <c r="S323" s="12">
        <f t="shared" ref="S323:S386" si="63">IFERROR(E323/C323,"")</f>
        <v>0</v>
      </c>
      <c r="T323" s="12">
        <f t="shared" ref="T323:T386" si="64">IFERROR(D323/C323,"")</f>
        <v>0.59186113098448767</v>
      </c>
      <c r="U323" s="13" t="str">
        <f t="shared" ref="U323:U386" si="65">IFERROR(J323/F323,"")</f>
        <v/>
      </c>
      <c r="V323" s="13" t="str">
        <f t="shared" ref="V323:V386" si="66">IFERROR((L323+J323-K323)/F323,"")</f>
        <v/>
      </c>
      <c r="W323" s="12">
        <f t="shared" ref="W323:W386" si="67">IFERROR(G323/(J323+H323),"")</f>
        <v>0.4016751433290906</v>
      </c>
      <c r="X323" s="12">
        <f t="shared" ref="X323:X386" si="68">IFERROR(M323/B323,"")</f>
        <v>0</v>
      </c>
      <c r="Y323" s="13">
        <f t="shared" ref="Y323:Y386" si="69">IFERROR(B323/O323,"")</f>
        <v>43.025283266416807</v>
      </c>
      <c r="Z323" s="13">
        <f t="shared" ref="Z323:Z386" si="70">IFERROR(L323/B323,"")</f>
        <v>29.744011421731081</v>
      </c>
      <c r="AA323" s="13">
        <f t="shared" ref="AA323:AA386" si="71">IFERROR(B323/N323,"")</f>
        <v>20336044.620032534</v>
      </c>
    </row>
    <row r="324" spans="1:27" x14ac:dyDescent="0.25">
      <c r="A324" s="10" t="s">
        <v>383</v>
      </c>
      <c r="B324" s="11">
        <v>50469000000</v>
      </c>
      <c r="C324" s="11">
        <v>90274000000</v>
      </c>
      <c r="D324" s="11">
        <v>65511000000</v>
      </c>
      <c r="E324" s="11">
        <v>59243000000</v>
      </c>
      <c r="F324" s="11">
        <v>68254000000</v>
      </c>
      <c r="G324" s="11">
        <v>26172000000</v>
      </c>
      <c r="H324" s="11">
        <v>75736000000</v>
      </c>
      <c r="I324" s="11">
        <v>134112000000</v>
      </c>
      <c r="J324" s="11">
        <v>8844000000</v>
      </c>
      <c r="K324" s="11"/>
      <c r="L324" s="11">
        <v>1119951440801.48</v>
      </c>
      <c r="M324" s="11">
        <v>567000000</v>
      </c>
      <c r="N324" s="11">
        <v>44.19</v>
      </c>
      <c r="O324" s="11">
        <v>1142000000</v>
      </c>
      <c r="P324" s="12">
        <f t="shared" si="60"/>
        <v>0.66638058519066234</v>
      </c>
      <c r="Q324" s="12">
        <f t="shared" si="61"/>
        <v>0.37631979241231212</v>
      </c>
      <c r="R324" s="12">
        <f t="shared" si="62"/>
        <v>0.55906462547355829</v>
      </c>
      <c r="S324" s="12">
        <f t="shared" si="63"/>
        <v>0.65625761570330332</v>
      </c>
      <c r="T324" s="12">
        <f t="shared" si="64"/>
        <v>0.72569067505594076</v>
      </c>
      <c r="U324" s="13">
        <f t="shared" si="65"/>
        <v>0.12957482345357049</v>
      </c>
      <c r="V324" s="13">
        <f t="shared" si="66"/>
        <v>16.538158068413278</v>
      </c>
      <c r="W324" s="12">
        <f t="shared" si="67"/>
        <v>0.30943485457554976</v>
      </c>
      <c r="X324" s="12">
        <f t="shared" si="68"/>
        <v>1.1234619271235808E-2</v>
      </c>
      <c r="Y324" s="13">
        <f t="shared" si="69"/>
        <v>44.193520140105079</v>
      </c>
      <c r="Z324" s="13">
        <f t="shared" si="70"/>
        <v>22.190878376854702</v>
      </c>
      <c r="AA324" s="13">
        <f t="shared" si="71"/>
        <v>1142090970.8078752</v>
      </c>
    </row>
    <row r="325" spans="1:27" x14ac:dyDescent="0.25">
      <c r="A325" s="10" t="s">
        <v>384</v>
      </c>
      <c r="B325" s="11">
        <v>568207000</v>
      </c>
      <c r="C325" s="11"/>
      <c r="D325" s="11"/>
      <c r="E325" s="11"/>
      <c r="F325" s="11">
        <v>2785830000</v>
      </c>
      <c r="G325" s="11">
        <v>-949077000</v>
      </c>
      <c r="H325" s="11">
        <v>1923990000</v>
      </c>
      <c r="I325" s="11">
        <v>23794853000</v>
      </c>
      <c r="J325" s="11">
        <v>1552480000</v>
      </c>
      <c r="K325" s="11"/>
      <c r="L325" s="11">
        <v>9072016471.4799995</v>
      </c>
      <c r="M325" s="11"/>
      <c r="N325" s="11">
        <v>1.22</v>
      </c>
      <c r="O325" s="11">
        <v>466145101</v>
      </c>
      <c r="P325" s="12">
        <f t="shared" si="60"/>
        <v>0.29532741854167643</v>
      </c>
      <c r="Q325" s="12">
        <f t="shared" si="61"/>
        <v>2.3879407870265053E-2</v>
      </c>
      <c r="R325" s="12" t="str">
        <f t="shared" si="62"/>
        <v/>
      </c>
      <c r="S325" s="12" t="str">
        <f t="shared" si="63"/>
        <v/>
      </c>
      <c r="T325" s="12" t="str">
        <f t="shared" si="64"/>
        <v/>
      </c>
      <c r="U325" s="13">
        <f t="shared" si="65"/>
        <v>0.55727736437614639</v>
      </c>
      <c r="V325" s="13">
        <f t="shared" si="66"/>
        <v>3.8137633924108791</v>
      </c>
      <c r="W325" s="12">
        <f t="shared" si="67"/>
        <v>-0.27300019847719093</v>
      </c>
      <c r="X325" s="12">
        <f t="shared" si="68"/>
        <v>0</v>
      </c>
      <c r="Y325" s="13">
        <f t="shared" si="69"/>
        <v>1.2189487753513899</v>
      </c>
      <c r="Z325" s="13">
        <f t="shared" si="70"/>
        <v>15.966041374851066</v>
      </c>
      <c r="AA325" s="13">
        <f t="shared" si="71"/>
        <v>465743442.62295085</v>
      </c>
    </row>
    <row r="326" spans="1:27" x14ac:dyDescent="0.25">
      <c r="A326" s="10" t="s">
        <v>385</v>
      </c>
      <c r="B326" s="11">
        <v>1912000000</v>
      </c>
      <c r="C326" s="11">
        <v>8309000000</v>
      </c>
      <c r="D326" s="11">
        <v>5419000000</v>
      </c>
      <c r="E326" s="11">
        <v>2441000000</v>
      </c>
      <c r="F326" s="11">
        <v>2586000000</v>
      </c>
      <c r="G326" s="11">
        <v>2004000000</v>
      </c>
      <c r="H326" s="11">
        <v>11789500000</v>
      </c>
      <c r="I326" s="11">
        <v>27301000000</v>
      </c>
      <c r="J326" s="11">
        <v>8526000000</v>
      </c>
      <c r="K326" s="11"/>
      <c r="L326" s="11">
        <v>49496128742.480003</v>
      </c>
      <c r="M326" s="11">
        <v>412000000</v>
      </c>
      <c r="N326" s="11">
        <v>3.34</v>
      </c>
      <c r="O326" s="11">
        <v>571746487</v>
      </c>
      <c r="P326" s="12">
        <f t="shared" si="60"/>
        <v>0.16217820942363967</v>
      </c>
      <c r="Q326" s="12">
        <f t="shared" si="61"/>
        <v>7.0034064686275224E-2</v>
      </c>
      <c r="R326" s="12">
        <f t="shared" si="62"/>
        <v>0.23011192682633289</v>
      </c>
      <c r="S326" s="12">
        <f t="shared" si="63"/>
        <v>0.2937778312673005</v>
      </c>
      <c r="T326" s="12">
        <f t="shared" si="64"/>
        <v>0.65218437838488386</v>
      </c>
      <c r="U326" s="13">
        <f t="shared" si="65"/>
        <v>3.296983758700696</v>
      </c>
      <c r="V326" s="13">
        <f t="shared" si="66"/>
        <v>22.43701807520495</v>
      </c>
      <c r="W326" s="12">
        <f t="shared" si="67"/>
        <v>9.8643892594324531E-2</v>
      </c>
      <c r="X326" s="12">
        <f t="shared" si="68"/>
        <v>0.21548117154811716</v>
      </c>
      <c r="Y326" s="13">
        <f t="shared" si="69"/>
        <v>3.3441394804757234</v>
      </c>
      <c r="Z326" s="13">
        <f t="shared" si="70"/>
        <v>25.887096622635983</v>
      </c>
      <c r="AA326" s="13">
        <f t="shared" si="71"/>
        <v>572455089.82035935</v>
      </c>
    </row>
    <row r="327" spans="1:27" x14ac:dyDescent="0.25">
      <c r="A327" s="10" t="s">
        <v>386</v>
      </c>
      <c r="B327" s="11">
        <v>528116000</v>
      </c>
      <c r="C327" s="11">
        <v>2903637000</v>
      </c>
      <c r="D327" s="11"/>
      <c r="E327" s="11">
        <v>765636000</v>
      </c>
      <c r="F327" s="11">
        <v>843192000</v>
      </c>
      <c r="G327" s="11">
        <v>713670000</v>
      </c>
      <c r="H327" s="11">
        <v>3081269500</v>
      </c>
      <c r="I327" s="11">
        <v>5964418000</v>
      </c>
      <c r="J327" s="11">
        <v>1879952000</v>
      </c>
      <c r="K327" s="11"/>
      <c r="L327" s="11">
        <v>15955948496.700001</v>
      </c>
      <c r="M327" s="11">
        <v>181774000</v>
      </c>
      <c r="N327" s="11">
        <v>9.41</v>
      </c>
      <c r="O327" s="11">
        <v>56113000</v>
      </c>
      <c r="P327" s="12">
        <f t="shared" si="60"/>
        <v>0.17139558873379948</v>
      </c>
      <c r="Q327" s="12">
        <f t="shared" si="61"/>
        <v>8.8544431325906406E-2</v>
      </c>
      <c r="R327" s="12">
        <f t="shared" si="62"/>
        <v>0.18188086182949179</v>
      </c>
      <c r="S327" s="12">
        <f t="shared" si="63"/>
        <v>0.2636817205456467</v>
      </c>
      <c r="T327" s="12">
        <f t="shared" si="64"/>
        <v>0</v>
      </c>
      <c r="U327" s="13">
        <f t="shared" si="65"/>
        <v>2.2295657454055542</v>
      </c>
      <c r="V327" s="13">
        <f t="shared" si="66"/>
        <v>21.152834107415632</v>
      </c>
      <c r="W327" s="12">
        <f t="shared" si="67"/>
        <v>0.14384965476748016</v>
      </c>
      <c r="X327" s="12">
        <f t="shared" si="68"/>
        <v>0.34419332116428969</v>
      </c>
      <c r="Y327" s="13">
        <f t="shared" si="69"/>
        <v>9.4116514889597784</v>
      </c>
      <c r="Z327" s="13">
        <f t="shared" si="70"/>
        <v>30.212961729430656</v>
      </c>
      <c r="AA327" s="13">
        <f t="shared" si="71"/>
        <v>56122848.034006372</v>
      </c>
    </row>
    <row r="328" spans="1:27" x14ac:dyDescent="0.25">
      <c r="A328" s="10" t="s">
        <v>387</v>
      </c>
      <c r="B328" s="11">
        <v>8184000000</v>
      </c>
      <c r="C328" s="11"/>
      <c r="D328" s="11"/>
      <c r="E328" s="11"/>
      <c r="F328" s="11">
        <v>15088000000</v>
      </c>
      <c r="G328" s="11"/>
      <c r="H328" s="11">
        <v>52517000000</v>
      </c>
      <c r="I328" s="11">
        <v>221424000000</v>
      </c>
      <c r="J328" s="11">
        <v>93948000000</v>
      </c>
      <c r="K328" s="11"/>
      <c r="L328" s="11">
        <v>181656223499.42001</v>
      </c>
      <c r="M328" s="11">
        <v>4814000000</v>
      </c>
      <c r="N328" s="11">
        <v>3.91</v>
      </c>
      <c r="O328" s="11">
        <v>2092400000</v>
      </c>
      <c r="P328" s="12">
        <f t="shared" si="60"/>
        <v>0.15583525334653542</v>
      </c>
      <c r="Q328" s="12">
        <f t="shared" si="61"/>
        <v>3.6960763060914809E-2</v>
      </c>
      <c r="R328" s="12" t="str">
        <f t="shared" si="62"/>
        <v/>
      </c>
      <c r="S328" s="12" t="str">
        <f t="shared" si="63"/>
        <v/>
      </c>
      <c r="T328" s="12" t="str">
        <f t="shared" si="64"/>
        <v/>
      </c>
      <c r="U328" s="13">
        <f t="shared" si="65"/>
        <v>6.2266702014846231</v>
      </c>
      <c r="V328" s="13">
        <f t="shared" si="66"/>
        <v>18.266451716557533</v>
      </c>
      <c r="W328" s="12">
        <f t="shared" si="67"/>
        <v>0</v>
      </c>
      <c r="X328" s="12">
        <f t="shared" si="68"/>
        <v>0.58822091886608019</v>
      </c>
      <c r="Y328" s="13">
        <f t="shared" si="69"/>
        <v>3.9112980309692218</v>
      </c>
      <c r="Z328" s="13">
        <f t="shared" si="70"/>
        <v>22.196508247729717</v>
      </c>
      <c r="AA328" s="13">
        <f t="shared" si="71"/>
        <v>2093094629.1560102</v>
      </c>
    </row>
    <row r="329" spans="1:27" x14ac:dyDescent="0.25">
      <c r="A329" s="10" t="s">
        <v>388</v>
      </c>
      <c r="B329" s="11">
        <v>8456000000</v>
      </c>
      <c r="C329" s="11">
        <v>24966000000</v>
      </c>
      <c r="D329" s="11"/>
      <c r="E329" s="11"/>
      <c r="F329" s="11"/>
      <c r="G329" s="11">
        <v>9238000000</v>
      </c>
      <c r="H329" s="11">
        <v>33087000000</v>
      </c>
      <c r="I329" s="11">
        <v>57670000000</v>
      </c>
      <c r="J329" s="11">
        <v>5079000000</v>
      </c>
      <c r="K329" s="11"/>
      <c r="L329" s="11">
        <v>101214674948.50999</v>
      </c>
      <c r="M329" s="11">
        <v>1106000000</v>
      </c>
      <c r="N329" s="11">
        <v>7.78</v>
      </c>
      <c r="O329" s="11">
        <v>1087000000</v>
      </c>
      <c r="P329" s="12">
        <f t="shared" si="60"/>
        <v>0.25556865234079851</v>
      </c>
      <c r="Q329" s="12">
        <f t="shared" si="61"/>
        <v>0.14662736258019768</v>
      </c>
      <c r="R329" s="12">
        <f t="shared" si="62"/>
        <v>0.33870063286069052</v>
      </c>
      <c r="S329" s="12">
        <f t="shared" si="63"/>
        <v>0</v>
      </c>
      <c r="T329" s="12">
        <f t="shared" si="64"/>
        <v>0</v>
      </c>
      <c r="U329" s="13" t="str">
        <f t="shared" si="65"/>
        <v/>
      </c>
      <c r="V329" s="13" t="str">
        <f t="shared" si="66"/>
        <v/>
      </c>
      <c r="W329" s="12">
        <f t="shared" si="67"/>
        <v>0.24204789603311849</v>
      </c>
      <c r="X329" s="12">
        <f t="shared" si="68"/>
        <v>0.13079470198675497</v>
      </c>
      <c r="Y329" s="13">
        <f t="shared" si="69"/>
        <v>7.7792088316467343</v>
      </c>
      <c r="Z329" s="13">
        <f t="shared" si="70"/>
        <v>11.969568939038552</v>
      </c>
      <c r="AA329" s="13">
        <f t="shared" si="71"/>
        <v>1086889460.1542416</v>
      </c>
    </row>
    <row r="330" spans="1:27" x14ac:dyDescent="0.25">
      <c r="A330" s="10" t="s">
        <v>389</v>
      </c>
      <c r="B330" s="11">
        <v>13373641000</v>
      </c>
      <c r="C330" s="11">
        <v>46889992000</v>
      </c>
      <c r="D330" s="11"/>
      <c r="E330" s="11">
        <v>13936601000</v>
      </c>
      <c r="F330" s="11">
        <v>14288498000</v>
      </c>
      <c r="G330" s="11">
        <v>11894206000</v>
      </c>
      <c r="H330" s="11">
        <v>27577236000</v>
      </c>
      <c r="I330" s="11">
        <v>61015914000</v>
      </c>
      <c r="J330" s="11">
        <v>20535734000</v>
      </c>
      <c r="K330" s="11"/>
      <c r="L330" s="11">
        <v>317788970048.28998</v>
      </c>
      <c r="M330" s="11"/>
      <c r="N330" s="11">
        <v>3.11</v>
      </c>
      <c r="O330" s="11">
        <v>4298437000</v>
      </c>
      <c r="P330" s="12">
        <f t="shared" si="60"/>
        <v>0.48495219027751729</v>
      </c>
      <c r="Q330" s="12">
        <f t="shared" si="61"/>
        <v>0.21918283482568171</v>
      </c>
      <c r="R330" s="12">
        <f t="shared" si="62"/>
        <v>0.28521312181072667</v>
      </c>
      <c r="S330" s="12">
        <f t="shared" si="63"/>
        <v>0.29721909528156881</v>
      </c>
      <c r="T330" s="12">
        <f t="shared" si="64"/>
        <v>0</v>
      </c>
      <c r="U330" s="13">
        <f t="shared" si="65"/>
        <v>1.43722132305299</v>
      </c>
      <c r="V330" s="13">
        <f t="shared" si="66"/>
        <v>23.678115365820116</v>
      </c>
      <c r="W330" s="12">
        <f t="shared" si="67"/>
        <v>0.24721412957878094</v>
      </c>
      <c r="X330" s="12">
        <f t="shared" si="68"/>
        <v>0</v>
      </c>
      <c r="Y330" s="13">
        <f t="shared" si="69"/>
        <v>3.111279983863902</v>
      </c>
      <c r="Z330" s="13">
        <f t="shared" si="70"/>
        <v>23.762337425409427</v>
      </c>
      <c r="AA330" s="13">
        <f t="shared" si="71"/>
        <v>4300206109.3247595</v>
      </c>
    </row>
    <row r="331" spans="1:27" x14ac:dyDescent="0.25">
      <c r="A331" s="10" t="s">
        <v>390</v>
      </c>
      <c r="B331" s="11">
        <v>961800000</v>
      </c>
      <c r="C331" s="11"/>
      <c r="D331" s="11"/>
      <c r="E331" s="11"/>
      <c r="F331" s="11">
        <v>3092400000</v>
      </c>
      <c r="G331" s="11">
        <v>-832000000</v>
      </c>
      <c r="H331" s="11">
        <v>9277500000</v>
      </c>
      <c r="I331" s="11">
        <v>36601000000</v>
      </c>
      <c r="J331" s="11"/>
      <c r="K331" s="11"/>
      <c r="L331" s="11">
        <v>22370635098.540001</v>
      </c>
      <c r="M331" s="11">
        <v>547400000</v>
      </c>
      <c r="N331" s="11">
        <v>2</v>
      </c>
      <c r="O331" s="11">
        <v>480900000</v>
      </c>
      <c r="P331" s="12">
        <f t="shared" si="60"/>
        <v>0.10367016976556184</v>
      </c>
      <c r="Q331" s="12">
        <f t="shared" si="61"/>
        <v>2.6277970547252807E-2</v>
      </c>
      <c r="R331" s="12" t="str">
        <f t="shared" si="62"/>
        <v/>
      </c>
      <c r="S331" s="12" t="str">
        <f t="shared" si="63"/>
        <v/>
      </c>
      <c r="T331" s="12" t="str">
        <f t="shared" si="64"/>
        <v/>
      </c>
      <c r="U331" s="13">
        <f t="shared" si="65"/>
        <v>0</v>
      </c>
      <c r="V331" s="13">
        <f t="shared" si="66"/>
        <v>7.2340690397555303</v>
      </c>
      <c r="W331" s="12">
        <f t="shared" si="67"/>
        <v>-8.9679331716518457E-2</v>
      </c>
      <c r="X331" s="12">
        <f t="shared" si="68"/>
        <v>0.5691411935953421</v>
      </c>
      <c r="Y331" s="13">
        <f t="shared" si="69"/>
        <v>2</v>
      </c>
      <c r="Z331" s="13">
        <f t="shared" si="70"/>
        <v>23.259134018028696</v>
      </c>
      <c r="AA331" s="13">
        <f t="shared" si="71"/>
        <v>480900000</v>
      </c>
    </row>
    <row r="332" spans="1:27" x14ac:dyDescent="0.25">
      <c r="A332" s="10" t="s">
        <v>391</v>
      </c>
      <c r="B332" s="11">
        <v>2250000000</v>
      </c>
      <c r="C332" s="11">
        <v>46523000000</v>
      </c>
      <c r="D332" s="11">
        <v>18987000000</v>
      </c>
      <c r="E332" s="11"/>
      <c r="F332" s="11"/>
      <c r="G332" s="11">
        <v>1048000000</v>
      </c>
      <c r="H332" s="11">
        <v>14048500000</v>
      </c>
      <c r="I332" s="11">
        <v>37064000000</v>
      </c>
      <c r="J332" s="11">
        <v>7961000000</v>
      </c>
      <c r="K332" s="11"/>
      <c r="L332" s="11">
        <v>63352345464.019997</v>
      </c>
      <c r="M332" s="11">
        <v>2389000000</v>
      </c>
      <c r="N332" s="11">
        <v>1.52</v>
      </c>
      <c r="O332" s="11">
        <v>1480400000</v>
      </c>
      <c r="P332" s="12">
        <f t="shared" si="60"/>
        <v>0.16015944762786063</v>
      </c>
      <c r="Q332" s="12">
        <f t="shared" si="61"/>
        <v>6.0705806173105982E-2</v>
      </c>
      <c r="R332" s="12">
        <f t="shared" si="62"/>
        <v>4.8363175203662706E-2</v>
      </c>
      <c r="S332" s="12">
        <f t="shared" si="63"/>
        <v>0</v>
      </c>
      <c r="T332" s="12">
        <f t="shared" si="64"/>
        <v>0.40812071448530834</v>
      </c>
      <c r="U332" s="13" t="str">
        <f t="shared" si="65"/>
        <v/>
      </c>
      <c r="V332" s="13" t="str">
        <f t="shared" si="66"/>
        <v/>
      </c>
      <c r="W332" s="12">
        <f t="shared" si="67"/>
        <v>4.76158022672028E-2</v>
      </c>
      <c r="X332" s="12">
        <f t="shared" si="68"/>
        <v>1.0617777777777777</v>
      </c>
      <c r="Y332" s="13">
        <f t="shared" si="69"/>
        <v>1.5198594974331261</v>
      </c>
      <c r="Z332" s="13">
        <f t="shared" si="70"/>
        <v>28.156597984008886</v>
      </c>
      <c r="AA332" s="13">
        <f t="shared" si="71"/>
        <v>1480263157.8947368</v>
      </c>
    </row>
    <row r="333" spans="1:27" x14ac:dyDescent="0.25">
      <c r="A333" s="10" t="s">
        <v>392</v>
      </c>
      <c r="B333" s="11">
        <v>4576000000</v>
      </c>
      <c r="C333" s="11">
        <v>42367000000</v>
      </c>
      <c r="D333" s="11"/>
      <c r="E333" s="11">
        <v>4927000000</v>
      </c>
      <c r="F333" s="11">
        <v>6434000000</v>
      </c>
      <c r="G333" s="11">
        <v>3305000000</v>
      </c>
      <c r="H333" s="11">
        <v>16049500000</v>
      </c>
      <c r="I333" s="11">
        <v>50007000000</v>
      </c>
      <c r="J333" s="11">
        <v>15696000000</v>
      </c>
      <c r="K333" s="11"/>
      <c r="L333" s="11">
        <v>75594474157.389999</v>
      </c>
      <c r="M333" s="11">
        <v>1324000000</v>
      </c>
      <c r="N333" s="11">
        <v>32.11</v>
      </c>
      <c r="O333" s="11">
        <v>142500000</v>
      </c>
      <c r="P333" s="12">
        <f t="shared" si="60"/>
        <v>0.28511791644599521</v>
      </c>
      <c r="Q333" s="12">
        <f t="shared" si="61"/>
        <v>9.1507188993540906E-2</v>
      </c>
      <c r="R333" s="12">
        <f t="shared" si="62"/>
        <v>0.10800859159251304</v>
      </c>
      <c r="S333" s="12">
        <f t="shared" si="63"/>
        <v>0.1162933415158024</v>
      </c>
      <c r="T333" s="12">
        <f t="shared" si="64"/>
        <v>0</v>
      </c>
      <c r="U333" s="13">
        <f t="shared" si="65"/>
        <v>2.4395399440472492</v>
      </c>
      <c r="V333" s="13">
        <f t="shared" si="66"/>
        <v>14.188758805935654</v>
      </c>
      <c r="W333" s="12">
        <f t="shared" si="67"/>
        <v>0.10410924382983415</v>
      </c>
      <c r="X333" s="12">
        <f t="shared" si="68"/>
        <v>0.28933566433566432</v>
      </c>
      <c r="Y333" s="13">
        <f t="shared" si="69"/>
        <v>32.112280701754386</v>
      </c>
      <c r="Z333" s="13">
        <f t="shared" si="70"/>
        <v>16.519771450478583</v>
      </c>
      <c r="AA333" s="13">
        <f t="shared" si="71"/>
        <v>142510121.45748988</v>
      </c>
    </row>
    <row r="334" spans="1:27" x14ac:dyDescent="0.25">
      <c r="A334" s="10" t="s">
        <v>393</v>
      </c>
      <c r="B334" s="11">
        <v>1757000000</v>
      </c>
      <c r="C334" s="11">
        <v>13960000000</v>
      </c>
      <c r="D334" s="11">
        <v>10688000000</v>
      </c>
      <c r="E334" s="11">
        <v>1876000000</v>
      </c>
      <c r="F334" s="11">
        <v>2712000000</v>
      </c>
      <c r="G334" s="11">
        <v>4633000000</v>
      </c>
      <c r="H334" s="11">
        <v>10933500000</v>
      </c>
      <c r="I334" s="11">
        <v>24381000000</v>
      </c>
      <c r="J334" s="11">
        <v>1484000000</v>
      </c>
      <c r="K334" s="11"/>
      <c r="L334" s="11">
        <v>112247558943.24001</v>
      </c>
      <c r="M334" s="11"/>
      <c r="N334" s="11">
        <v>1.69</v>
      </c>
      <c r="O334" s="11">
        <v>1039884000</v>
      </c>
      <c r="P334" s="12">
        <f t="shared" si="60"/>
        <v>0.16069876983582568</v>
      </c>
      <c r="Q334" s="12">
        <f t="shared" si="61"/>
        <v>7.2064312374389899E-2</v>
      </c>
      <c r="R334" s="12">
        <f t="shared" si="62"/>
        <v>0.12585959885386819</v>
      </c>
      <c r="S334" s="12">
        <f t="shared" si="63"/>
        <v>0.13438395415472779</v>
      </c>
      <c r="T334" s="12">
        <f t="shared" si="64"/>
        <v>0.76561604584527221</v>
      </c>
      <c r="U334" s="13">
        <f t="shared" si="65"/>
        <v>0.5471976401179941</v>
      </c>
      <c r="V334" s="13">
        <f t="shared" si="66"/>
        <v>41.936415539542772</v>
      </c>
      <c r="W334" s="12">
        <f t="shared" si="67"/>
        <v>0.37310247634386956</v>
      </c>
      <c r="X334" s="12">
        <f t="shared" si="68"/>
        <v>0</v>
      </c>
      <c r="Y334" s="13">
        <f t="shared" si="69"/>
        <v>1.6896115335941317</v>
      </c>
      <c r="Z334" s="13">
        <f t="shared" si="70"/>
        <v>63.885918578964144</v>
      </c>
      <c r="AA334" s="13">
        <f t="shared" si="71"/>
        <v>1039644970.4142013</v>
      </c>
    </row>
    <row r="335" spans="1:27" x14ac:dyDescent="0.25">
      <c r="A335" s="10" t="s">
        <v>394</v>
      </c>
      <c r="B335" s="11">
        <v>239000000</v>
      </c>
      <c r="C335" s="11">
        <v>32384000000</v>
      </c>
      <c r="D335" s="11"/>
      <c r="E335" s="11">
        <v>1039000000</v>
      </c>
      <c r="F335" s="11">
        <v>2551000000</v>
      </c>
      <c r="G335" s="11">
        <v>-358000000</v>
      </c>
      <c r="H335" s="11"/>
      <c r="I335" s="11">
        <v>40053000000</v>
      </c>
      <c r="J335" s="11">
        <v>23181000000</v>
      </c>
      <c r="K335" s="11"/>
      <c r="L335" s="11">
        <v>29639378404.169998</v>
      </c>
      <c r="M335" s="11">
        <v>411000000</v>
      </c>
      <c r="N335" s="11">
        <v>1.1499999999999999</v>
      </c>
      <c r="O335" s="11">
        <v>208000000</v>
      </c>
      <c r="P335" s="12" t="str">
        <f t="shared" si="60"/>
        <v/>
      </c>
      <c r="Q335" s="12">
        <f t="shared" si="61"/>
        <v>5.9670936009787031E-3</v>
      </c>
      <c r="R335" s="12">
        <f t="shared" si="62"/>
        <v>7.380187747035573E-3</v>
      </c>
      <c r="S335" s="12">
        <f t="shared" si="63"/>
        <v>3.2083745059288536E-2</v>
      </c>
      <c r="T335" s="12">
        <f t="shared" si="64"/>
        <v>0</v>
      </c>
      <c r="U335" s="13">
        <f t="shared" si="65"/>
        <v>9.0870246961975703</v>
      </c>
      <c r="V335" s="13">
        <f t="shared" si="66"/>
        <v>20.705753980466483</v>
      </c>
      <c r="W335" s="12">
        <f t="shared" si="67"/>
        <v>-1.544368232604288E-2</v>
      </c>
      <c r="X335" s="12">
        <f t="shared" si="68"/>
        <v>1.7196652719665273</v>
      </c>
      <c r="Y335" s="13">
        <f t="shared" si="69"/>
        <v>1.1490384615384615</v>
      </c>
      <c r="Z335" s="13">
        <f t="shared" si="70"/>
        <v>124.01413558230125</v>
      </c>
      <c r="AA335" s="13">
        <f t="shared" si="71"/>
        <v>207826086.95652175</v>
      </c>
    </row>
    <row r="336" spans="1:27" x14ac:dyDescent="0.25">
      <c r="A336" s="10" t="s">
        <v>395</v>
      </c>
      <c r="B336" s="11">
        <v>2670000000</v>
      </c>
      <c r="C336" s="11">
        <v>12185000000</v>
      </c>
      <c r="D336" s="11"/>
      <c r="E336" s="11">
        <v>4087000000</v>
      </c>
      <c r="F336" s="11">
        <v>5486000000</v>
      </c>
      <c r="G336" s="11">
        <v>1618000000</v>
      </c>
      <c r="H336" s="11">
        <v>15157500000</v>
      </c>
      <c r="I336" s="11">
        <v>45113000000</v>
      </c>
      <c r="J336" s="11"/>
      <c r="K336" s="11"/>
      <c r="L336" s="11">
        <v>72716797236.309998</v>
      </c>
      <c r="M336" s="11">
        <v>1212000000</v>
      </c>
      <c r="N336" s="11">
        <v>11.87</v>
      </c>
      <c r="O336" s="11">
        <v>225000000</v>
      </c>
      <c r="P336" s="12">
        <f t="shared" si="60"/>
        <v>0.17615042058386937</v>
      </c>
      <c r="Q336" s="12">
        <f t="shared" si="61"/>
        <v>5.9184713940549284E-2</v>
      </c>
      <c r="R336" s="12">
        <f t="shared" si="62"/>
        <v>0.21912187115305704</v>
      </c>
      <c r="S336" s="12">
        <f t="shared" si="63"/>
        <v>0.33541239228559705</v>
      </c>
      <c r="T336" s="12">
        <f t="shared" si="64"/>
        <v>0</v>
      </c>
      <c r="U336" s="13">
        <f t="shared" si="65"/>
        <v>0</v>
      </c>
      <c r="V336" s="13">
        <f t="shared" si="66"/>
        <v>13.254975799546116</v>
      </c>
      <c r="W336" s="12">
        <f t="shared" si="67"/>
        <v>0.10674583539501897</v>
      </c>
      <c r="X336" s="12">
        <f t="shared" si="68"/>
        <v>0.45393258426966293</v>
      </c>
      <c r="Y336" s="13">
        <f t="shared" si="69"/>
        <v>11.866666666666667</v>
      </c>
      <c r="Z336" s="13">
        <f t="shared" si="70"/>
        <v>27.234755519217227</v>
      </c>
      <c r="AA336" s="13">
        <f t="shared" si="71"/>
        <v>224936815.50126371</v>
      </c>
    </row>
    <row r="337" spans="1:27" x14ac:dyDescent="0.25">
      <c r="A337" s="10" t="s">
        <v>396</v>
      </c>
      <c r="B337" s="11">
        <v>1276000000</v>
      </c>
      <c r="C337" s="11">
        <v>6237000000</v>
      </c>
      <c r="D337" s="11">
        <v>4899000000</v>
      </c>
      <c r="E337" s="11">
        <v>1674000000</v>
      </c>
      <c r="F337" s="11">
        <v>1853000000</v>
      </c>
      <c r="G337" s="11">
        <v>1869000000</v>
      </c>
      <c r="H337" s="11">
        <v>1195500000</v>
      </c>
      <c r="I337" s="11">
        <v>10744000000</v>
      </c>
      <c r="J337" s="11">
        <v>2487000000</v>
      </c>
      <c r="K337" s="11"/>
      <c r="L337" s="11">
        <v>33645328226.650002</v>
      </c>
      <c r="M337" s="11">
        <v>413000000</v>
      </c>
      <c r="N337" s="11">
        <v>6.35</v>
      </c>
      <c r="O337" s="11">
        <v>201000000</v>
      </c>
      <c r="P337" s="12">
        <f t="shared" si="60"/>
        <v>1.0673358427436219</v>
      </c>
      <c r="Q337" s="12">
        <f t="shared" si="61"/>
        <v>0.11876396128071481</v>
      </c>
      <c r="R337" s="12">
        <f t="shared" si="62"/>
        <v>0.20458553791887124</v>
      </c>
      <c r="S337" s="12">
        <f t="shared" si="63"/>
        <v>0.26839826839826841</v>
      </c>
      <c r="T337" s="12">
        <f t="shared" si="64"/>
        <v>0.78547378547378544</v>
      </c>
      <c r="U337" s="13">
        <f t="shared" si="65"/>
        <v>1.3421478683216406</v>
      </c>
      <c r="V337" s="13">
        <f t="shared" si="66"/>
        <v>19.499367634457638</v>
      </c>
      <c r="W337" s="12">
        <f t="shared" si="67"/>
        <v>0.50753564154786146</v>
      </c>
      <c r="X337" s="12">
        <f t="shared" si="68"/>
        <v>0.32366771159874608</v>
      </c>
      <c r="Y337" s="13">
        <f t="shared" si="69"/>
        <v>6.3482587064676617</v>
      </c>
      <c r="Z337" s="13">
        <f t="shared" si="70"/>
        <v>26.3678120898511</v>
      </c>
      <c r="AA337" s="13">
        <f t="shared" si="71"/>
        <v>200944881.8897638</v>
      </c>
    </row>
    <row r="338" spans="1:27" x14ac:dyDescent="0.25">
      <c r="A338" s="10" t="s">
        <v>397</v>
      </c>
      <c r="B338" s="11">
        <v>1870400000</v>
      </c>
      <c r="C338" s="11">
        <v>8086400000</v>
      </c>
      <c r="D338" s="11"/>
      <c r="E338" s="11"/>
      <c r="F338" s="11"/>
      <c r="G338" s="11">
        <v>2392700000</v>
      </c>
      <c r="H338" s="11">
        <v>12932900000</v>
      </c>
      <c r="I338" s="11">
        <v>174574300000</v>
      </c>
      <c r="J338" s="11"/>
      <c r="K338" s="11"/>
      <c r="L338" s="11">
        <v>33837741710.82</v>
      </c>
      <c r="M338" s="11">
        <v>594000000</v>
      </c>
      <c r="N338" s="11">
        <v>10.029999999999999</v>
      </c>
      <c r="O338" s="11">
        <v>186538735</v>
      </c>
      <c r="P338" s="12">
        <f t="shared" si="60"/>
        <v>0.14462340233049045</v>
      </c>
      <c r="Q338" s="12">
        <f t="shared" si="61"/>
        <v>1.0714062722863561E-2</v>
      </c>
      <c r="R338" s="12">
        <f t="shared" si="62"/>
        <v>0.23130193905817176</v>
      </c>
      <c r="S338" s="12">
        <f t="shared" si="63"/>
        <v>0</v>
      </c>
      <c r="T338" s="12">
        <f t="shared" si="64"/>
        <v>0</v>
      </c>
      <c r="U338" s="13" t="str">
        <f t="shared" si="65"/>
        <v/>
      </c>
      <c r="V338" s="13" t="str">
        <f t="shared" si="66"/>
        <v/>
      </c>
      <c r="W338" s="12">
        <f t="shared" si="67"/>
        <v>0.18500877606723937</v>
      </c>
      <c r="X338" s="12">
        <f t="shared" si="68"/>
        <v>0.31757912745936701</v>
      </c>
      <c r="Y338" s="13">
        <f t="shared" si="69"/>
        <v>10.026871898750681</v>
      </c>
      <c r="Z338" s="13">
        <f t="shared" si="70"/>
        <v>18.091179272251924</v>
      </c>
      <c r="AA338" s="13">
        <f t="shared" si="71"/>
        <v>186480558.32502493</v>
      </c>
    </row>
    <row r="339" spans="1:27" x14ac:dyDescent="0.25">
      <c r="A339" s="10" t="s">
        <v>398</v>
      </c>
      <c r="B339" s="11">
        <v>2331000000</v>
      </c>
      <c r="C339" s="11"/>
      <c r="D339" s="11"/>
      <c r="E339" s="11"/>
      <c r="F339" s="11"/>
      <c r="G339" s="11">
        <v>532000000</v>
      </c>
      <c r="H339" s="11">
        <v>20761000000</v>
      </c>
      <c r="I339" s="11">
        <v>35635000000</v>
      </c>
      <c r="J339" s="11"/>
      <c r="K339" s="11"/>
      <c r="L339" s="11">
        <v>50622258088</v>
      </c>
      <c r="M339" s="11">
        <v>512000000</v>
      </c>
      <c r="N339" s="11">
        <v>10.17</v>
      </c>
      <c r="O339" s="11">
        <v>229300000</v>
      </c>
      <c r="P339" s="12">
        <f t="shared" si="60"/>
        <v>0.11227782862097202</v>
      </c>
      <c r="Q339" s="12">
        <f t="shared" si="61"/>
        <v>6.5413217342500357E-2</v>
      </c>
      <c r="R339" s="12" t="str">
        <f t="shared" si="62"/>
        <v/>
      </c>
      <c r="S339" s="12" t="str">
        <f t="shared" si="63"/>
        <v/>
      </c>
      <c r="T339" s="12" t="str">
        <f t="shared" si="64"/>
        <v/>
      </c>
      <c r="U339" s="13" t="str">
        <f t="shared" si="65"/>
        <v/>
      </c>
      <c r="V339" s="13" t="str">
        <f t="shared" si="66"/>
        <v/>
      </c>
      <c r="W339" s="12">
        <f t="shared" si="67"/>
        <v>2.5624969895477096E-2</v>
      </c>
      <c r="X339" s="12">
        <f t="shared" si="68"/>
        <v>0.21964821964821965</v>
      </c>
      <c r="Y339" s="13">
        <f t="shared" si="69"/>
        <v>10.165721761883995</v>
      </c>
      <c r="Z339" s="13">
        <f t="shared" si="70"/>
        <v>21.716970436722438</v>
      </c>
      <c r="AA339" s="13">
        <f t="shared" si="71"/>
        <v>229203539.82300887</v>
      </c>
    </row>
    <row r="340" spans="1:27" x14ac:dyDescent="0.25">
      <c r="A340" s="10" t="s">
        <v>399</v>
      </c>
      <c r="B340" s="11">
        <v>159613000000</v>
      </c>
      <c r="C340" s="11">
        <v>253491000000</v>
      </c>
      <c r="D340" s="11">
        <v>187952000000</v>
      </c>
      <c r="E340" s="11">
        <v>162285000000</v>
      </c>
      <c r="F340" s="11">
        <v>165514000000</v>
      </c>
      <c r="G340" s="11"/>
      <c r="H340" s="11">
        <v>139658500000</v>
      </c>
      <c r="I340" s="11">
        <v>259474000000</v>
      </c>
      <c r="J340" s="11">
        <v>8470000000</v>
      </c>
      <c r="K340" s="11"/>
      <c r="L340" s="11">
        <v>4911534350433.3496</v>
      </c>
      <c r="M340" s="11">
        <v>973000000</v>
      </c>
      <c r="N340" s="11">
        <v>6.54</v>
      </c>
      <c r="O340" s="11">
        <v>24391000000</v>
      </c>
      <c r="P340" s="12">
        <f t="shared" si="60"/>
        <v>1.1428806696334273</v>
      </c>
      <c r="Q340" s="12">
        <f t="shared" si="61"/>
        <v>0.61514063066049007</v>
      </c>
      <c r="R340" s="12">
        <f t="shared" si="62"/>
        <v>0.62965943564071303</v>
      </c>
      <c r="S340" s="12">
        <f t="shared" si="63"/>
        <v>0.64020024379563767</v>
      </c>
      <c r="T340" s="12">
        <f t="shared" si="64"/>
        <v>0.74145433171197395</v>
      </c>
      <c r="U340" s="13">
        <f t="shared" si="65"/>
        <v>5.1173918822576943E-2</v>
      </c>
      <c r="V340" s="13">
        <f t="shared" si="66"/>
        <v>29.725608410366192</v>
      </c>
      <c r="W340" s="12">
        <f t="shared" si="67"/>
        <v>0</v>
      </c>
      <c r="X340" s="12">
        <f t="shared" si="68"/>
        <v>6.0959946871495425E-3</v>
      </c>
      <c r="Y340" s="13">
        <f t="shared" si="69"/>
        <v>6.5439301381657167</v>
      </c>
      <c r="Z340" s="13">
        <f t="shared" si="70"/>
        <v>30.771518300096794</v>
      </c>
      <c r="AA340" s="13">
        <f t="shared" si="71"/>
        <v>24405657492.35474</v>
      </c>
    </row>
    <row r="341" spans="1:27" x14ac:dyDescent="0.25">
      <c r="A341" s="10" t="s">
        <v>400</v>
      </c>
      <c r="B341" s="11">
        <v>1238599000</v>
      </c>
      <c r="C341" s="11">
        <v>9801990000</v>
      </c>
      <c r="D341" s="11"/>
      <c r="E341" s="11"/>
      <c r="F341" s="11"/>
      <c r="G341" s="11">
        <v>1230905000</v>
      </c>
      <c r="H341" s="11">
        <v>3724349000</v>
      </c>
      <c r="I341" s="11">
        <v>5585778000</v>
      </c>
      <c r="J341" s="11"/>
      <c r="K341" s="11"/>
      <c r="L341" s="11">
        <v>17468306062.32</v>
      </c>
      <c r="M341" s="11"/>
      <c r="N341" s="11">
        <v>423.08</v>
      </c>
      <c r="O341" s="11">
        <v>2927581</v>
      </c>
      <c r="P341" s="12">
        <f t="shared" si="60"/>
        <v>0.33256791992372359</v>
      </c>
      <c r="Q341" s="12">
        <f t="shared" si="61"/>
        <v>0.22174153716814382</v>
      </c>
      <c r="R341" s="12">
        <f t="shared" si="62"/>
        <v>0.12636199384002636</v>
      </c>
      <c r="S341" s="12">
        <f t="shared" si="63"/>
        <v>0</v>
      </c>
      <c r="T341" s="12">
        <f t="shared" si="64"/>
        <v>0</v>
      </c>
      <c r="U341" s="13" t="str">
        <f t="shared" si="65"/>
        <v/>
      </c>
      <c r="V341" s="13" t="str">
        <f t="shared" si="66"/>
        <v/>
      </c>
      <c r="W341" s="12">
        <f t="shared" si="67"/>
        <v>0.33050205552701961</v>
      </c>
      <c r="X341" s="12">
        <f t="shared" si="68"/>
        <v>0</v>
      </c>
      <c r="Y341" s="13">
        <f t="shared" si="69"/>
        <v>423.07932726711914</v>
      </c>
      <c r="Z341" s="13">
        <f t="shared" si="70"/>
        <v>14.103278028094646</v>
      </c>
      <c r="AA341" s="13">
        <f t="shared" si="71"/>
        <v>2927576.3448993098</v>
      </c>
    </row>
    <row r="342" spans="1:27" x14ac:dyDescent="0.25">
      <c r="A342" s="10" t="s">
        <v>401</v>
      </c>
      <c r="B342" s="11">
        <v>1137000000</v>
      </c>
      <c r="C342" s="11">
        <v>8800000000</v>
      </c>
      <c r="D342" s="11"/>
      <c r="E342" s="11"/>
      <c r="F342" s="11"/>
      <c r="G342" s="11">
        <v>780000000</v>
      </c>
      <c r="H342" s="11">
        <v>8393500000</v>
      </c>
      <c r="I342" s="11">
        <v>15516000000</v>
      </c>
      <c r="J342" s="11">
        <v>1988000000</v>
      </c>
      <c r="K342" s="11"/>
      <c r="L342" s="11">
        <v>14954779575.57</v>
      </c>
      <c r="M342" s="11">
        <v>206000000</v>
      </c>
      <c r="N342" s="11">
        <v>2.02</v>
      </c>
      <c r="O342" s="11">
        <v>561500000</v>
      </c>
      <c r="P342" s="12">
        <f t="shared" si="60"/>
        <v>0.13546196461547627</v>
      </c>
      <c r="Q342" s="12">
        <f t="shared" si="61"/>
        <v>7.3279195668986857E-2</v>
      </c>
      <c r="R342" s="12">
        <f t="shared" si="62"/>
        <v>0.12920454545454546</v>
      </c>
      <c r="S342" s="12">
        <f t="shared" si="63"/>
        <v>0</v>
      </c>
      <c r="T342" s="12">
        <f t="shared" si="64"/>
        <v>0</v>
      </c>
      <c r="U342" s="13" t="str">
        <f t="shared" si="65"/>
        <v/>
      </c>
      <c r="V342" s="13" t="str">
        <f t="shared" si="66"/>
        <v/>
      </c>
      <c r="W342" s="12">
        <f t="shared" si="67"/>
        <v>7.5133651206473057E-2</v>
      </c>
      <c r="X342" s="12">
        <f t="shared" si="68"/>
        <v>0.18117854001759015</v>
      </c>
      <c r="Y342" s="13">
        <f t="shared" si="69"/>
        <v>2.02493321460374</v>
      </c>
      <c r="Z342" s="13">
        <f t="shared" si="70"/>
        <v>13.15284043585752</v>
      </c>
      <c r="AA342" s="13">
        <f t="shared" si="71"/>
        <v>562871287.12871289</v>
      </c>
    </row>
    <row r="343" spans="1:27" x14ac:dyDescent="0.25">
      <c r="A343" s="10" t="s">
        <v>402</v>
      </c>
      <c r="B343" s="11">
        <v>2653000000</v>
      </c>
      <c r="C343" s="11">
        <v>12615000000</v>
      </c>
      <c r="D343" s="11">
        <v>6944000000</v>
      </c>
      <c r="E343" s="11">
        <v>3829000000</v>
      </c>
      <c r="F343" s="11">
        <v>4631000000</v>
      </c>
      <c r="G343" s="11">
        <v>2711000000</v>
      </c>
      <c r="H343" s="11">
        <v>10124500000</v>
      </c>
      <c r="I343" s="11">
        <v>27113000000</v>
      </c>
      <c r="J343" s="11">
        <v>11040000000</v>
      </c>
      <c r="K343" s="11"/>
      <c r="L343" s="11">
        <v>73352949450.009995</v>
      </c>
      <c r="M343" s="11">
        <v>1023000000</v>
      </c>
      <c r="N343" s="11">
        <v>10.46</v>
      </c>
      <c r="O343" s="11">
        <v>253525000</v>
      </c>
      <c r="P343" s="12">
        <f t="shared" si="60"/>
        <v>0.26203763148797471</v>
      </c>
      <c r="Q343" s="12">
        <f t="shared" si="61"/>
        <v>9.7849739977132741E-2</v>
      </c>
      <c r="R343" s="12">
        <f t="shared" si="62"/>
        <v>0.21030519223147048</v>
      </c>
      <c r="S343" s="12">
        <f t="shared" si="63"/>
        <v>0.3035275465715418</v>
      </c>
      <c r="T343" s="12">
        <f t="shared" si="64"/>
        <v>0.55045580657946891</v>
      </c>
      <c r="U343" s="13">
        <f t="shared" si="65"/>
        <v>2.3839343554307924</v>
      </c>
      <c r="V343" s="13">
        <f t="shared" si="66"/>
        <v>18.223482930254804</v>
      </c>
      <c r="W343" s="12">
        <f t="shared" si="67"/>
        <v>0.12809185192185027</v>
      </c>
      <c r="X343" s="12">
        <f t="shared" si="68"/>
        <v>0.38560120618168109</v>
      </c>
      <c r="Y343" s="13">
        <f t="shared" si="69"/>
        <v>10.464451237550538</v>
      </c>
      <c r="Z343" s="13">
        <f t="shared" si="70"/>
        <v>27.64905746325292</v>
      </c>
      <c r="AA343" s="13">
        <f t="shared" si="71"/>
        <v>253632887.18929252</v>
      </c>
    </row>
    <row r="344" spans="1:27" x14ac:dyDescent="0.25">
      <c r="A344" s="10" t="s">
        <v>403</v>
      </c>
      <c r="B344" s="11">
        <v>1058590000</v>
      </c>
      <c r="C344" s="11">
        <v>5917599000</v>
      </c>
      <c r="D344" s="11"/>
      <c r="E344" s="11"/>
      <c r="F344" s="11"/>
      <c r="G344" s="11"/>
      <c r="H344" s="11">
        <v>39089373000</v>
      </c>
      <c r="I344" s="11">
        <v>74554704000</v>
      </c>
      <c r="J344" s="11"/>
      <c r="K344" s="11"/>
      <c r="L344" s="11">
        <v>58905551412.660004</v>
      </c>
      <c r="M344" s="11">
        <v>2967103000</v>
      </c>
      <c r="N344" s="11">
        <v>1.1299999999999999</v>
      </c>
      <c r="O344" s="11">
        <v>934446000</v>
      </c>
      <c r="P344" s="12">
        <f t="shared" si="60"/>
        <v>2.7081273470413558E-2</v>
      </c>
      <c r="Q344" s="12">
        <f t="shared" si="61"/>
        <v>1.4198835797134947E-2</v>
      </c>
      <c r="R344" s="12">
        <f t="shared" si="62"/>
        <v>0.17888843093288342</v>
      </c>
      <c r="S344" s="12">
        <f t="shared" si="63"/>
        <v>0</v>
      </c>
      <c r="T344" s="12">
        <f t="shared" si="64"/>
        <v>0</v>
      </c>
      <c r="U344" s="13" t="str">
        <f t="shared" si="65"/>
        <v/>
      </c>
      <c r="V344" s="13" t="str">
        <f t="shared" si="66"/>
        <v/>
      </c>
      <c r="W344" s="12">
        <f t="shared" si="67"/>
        <v>0</v>
      </c>
      <c r="X344" s="12">
        <f t="shared" si="68"/>
        <v>2.8028821356710343</v>
      </c>
      <c r="Y344" s="13">
        <f t="shared" si="69"/>
        <v>1.1328530487583017</v>
      </c>
      <c r="Z344" s="13">
        <f t="shared" si="70"/>
        <v>55.645293657279971</v>
      </c>
      <c r="AA344" s="13">
        <f t="shared" si="71"/>
        <v>936805309.7345134</v>
      </c>
    </row>
    <row r="345" spans="1:27" x14ac:dyDescent="0.25">
      <c r="A345" s="10" t="s">
        <v>404</v>
      </c>
      <c r="B345" s="11">
        <v>1007301000</v>
      </c>
      <c r="C345" s="11"/>
      <c r="D345" s="11"/>
      <c r="E345" s="11"/>
      <c r="F345" s="11">
        <v>1708189000</v>
      </c>
      <c r="G345" s="11">
        <v>1017789000</v>
      </c>
      <c r="H345" s="11">
        <v>4317523000</v>
      </c>
      <c r="I345" s="11">
        <v>5656948000</v>
      </c>
      <c r="J345" s="11">
        <v>19996000</v>
      </c>
      <c r="K345" s="11"/>
      <c r="L345" s="11">
        <v>46969637984.889999</v>
      </c>
      <c r="M345" s="11">
        <v>236644000</v>
      </c>
      <c r="N345" s="11">
        <v>4.8099999999999996</v>
      </c>
      <c r="O345" s="11">
        <v>209317000</v>
      </c>
      <c r="P345" s="12">
        <f t="shared" si="60"/>
        <v>0.23330530028444552</v>
      </c>
      <c r="Q345" s="12">
        <f t="shared" si="61"/>
        <v>0.17806439090477763</v>
      </c>
      <c r="R345" s="12" t="str">
        <f t="shared" si="62"/>
        <v/>
      </c>
      <c r="S345" s="12" t="str">
        <f t="shared" si="63"/>
        <v/>
      </c>
      <c r="T345" s="12" t="str">
        <f t="shared" si="64"/>
        <v/>
      </c>
      <c r="U345" s="13">
        <f t="shared" si="65"/>
        <v>1.1705964621010907E-2</v>
      </c>
      <c r="V345" s="13">
        <f t="shared" si="66"/>
        <v>27.50845133933657</v>
      </c>
      <c r="W345" s="12">
        <f t="shared" si="67"/>
        <v>0.23464773295517552</v>
      </c>
      <c r="X345" s="12">
        <f t="shared" si="68"/>
        <v>0.23492878494114469</v>
      </c>
      <c r="Y345" s="13">
        <f t="shared" si="69"/>
        <v>4.8123229360252635</v>
      </c>
      <c r="Z345" s="13">
        <f t="shared" si="70"/>
        <v>46.629198208767782</v>
      </c>
      <c r="AA345" s="13">
        <f t="shared" si="71"/>
        <v>209418087.31808734</v>
      </c>
    </row>
    <row r="346" spans="1:27" x14ac:dyDescent="0.25">
      <c r="A346" s="10" t="s">
        <v>405</v>
      </c>
      <c r="B346" s="11">
        <v>3531000000</v>
      </c>
      <c r="C346" s="11">
        <v>19198562000</v>
      </c>
      <c r="D346" s="11"/>
      <c r="E346" s="11">
        <v>5949000000</v>
      </c>
      <c r="F346" s="11">
        <v>7461000000</v>
      </c>
      <c r="G346" s="11">
        <v>2242000000</v>
      </c>
      <c r="H346" s="11">
        <v>21860500000</v>
      </c>
      <c r="I346" s="11">
        <v>68203000000</v>
      </c>
      <c r="J346" s="11">
        <v>32000000000</v>
      </c>
      <c r="K346" s="11"/>
      <c r="L346" s="11">
        <v>56387940254</v>
      </c>
      <c r="M346" s="11">
        <v>2614000000</v>
      </c>
      <c r="N346" s="11">
        <v>5.59</v>
      </c>
      <c r="O346" s="11">
        <v>631600000</v>
      </c>
      <c r="P346" s="12">
        <f t="shared" si="60"/>
        <v>0.16152421033370692</v>
      </c>
      <c r="Q346" s="12">
        <f t="shared" si="61"/>
        <v>5.1771916191369879E-2</v>
      </c>
      <c r="R346" s="12">
        <f t="shared" si="62"/>
        <v>0.18392002484352735</v>
      </c>
      <c r="S346" s="12">
        <f t="shared" si="63"/>
        <v>0.30986695774402273</v>
      </c>
      <c r="T346" s="12">
        <f t="shared" si="64"/>
        <v>0</v>
      </c>
      <c r="U346" s="13">
        <f t="shared" si="65"/>
        <v>4.2889693070633967</v>
      </c>
      <c r="V346" s="13">
        <f t="shared" si="66"/>
        <v>11.846661339498727</v>
      </c>
      <c r="W346" s="12">
        <f t="shared" si="67"/>
        <v>4.1626052487444415E-2</v>
      </c>
      <c r="X346" s="12">
        <f t="shared" si="68"/>
        <v>0.74030019824412352</v>
      </c>
      <c r="Y346" s="13">
        <f t="shared" si="69"/>
        <v>5.5905636478784038</v>
      </c>
      <c r="Z346" s="13">
        <f t="shared" si="70"/>
        <v>15.969396843387143</v>
      </c>
      <c r="AA346" s="13">
        <f t="shared" si="71"/>
        <v>631663685.15205729</v>
      </c>
    </row>
    <row r="347" spans="1:27" x14ac:dyDescent="0.25">
      <c r="A347" s="10" t="s">
        <v>406</v>
      </c>
      <c r="B347" s="11">
        <v>63000000</v>
      </c>
      <c r="C347" s="11">
        <v>19824400000</v>
      </c>
      <c r="D347" s="11"/>
      <c r="E347" s="11">
        <v>638300000</v>
      </c>
      <c r="F347" s="11">
        <v>1022900000</v>
      </c>
      <c r="G347" s="11">
        <v>2990300000</v>
      </c>
      <c r="H347" s="11">
        <v>6905150000</v>
      </c>
      <c r="I347" s="11">
        <v>49964700000</v>
      </c>
      <c r="J347" s="11">
        <v>9272900000</v>
      </c>
      <c r="K347" s="11"/>
      <c r="L347" s="11">
        <v>23037051344.540001</v>
      </c>
      <c r="M347" s="11">
        <v>663600000</v>
      </c>
      <c r="N347" s="11">
        <v>0.21</v>
      </c>
      <c r="O347" s="11">
        <v>299200000</v>
      </c>
      <c r="P347" s="12">
        <f t="shared" si="60"/>
        <v>9.1236251203811649E-3</v>
      </c>
      <c r="Q347" s="12">
        <f t="shared" si="61"/>
        <v>1.260890188473062E-3</v>
      </c>
      <c r="R347" s="12">
        <f t="shared" si="62"/>
        <v>3.1779019793789472E-3</v>
      </c>
      <c r="S347" s="12">
        <f t="shared" si="63"/>
        <v>3.2197695768850509E-2</v>
      </c>
      <c r="T347" s="12">
        <f t="shared" si="64"/>
        <v>0</v>
      </c>
      <c r="U347" s="13">
        <f t="shared" si="65"/>
        <v>9.0653045263466616</v>
      </c>
      <c r="V347" s="13">
        <f t="shared" si="66"/>
        <v>31.586617796988953</v>
      </c>
      <c r="W347" s="12">
        <f t="shared" si="67"/>
        <v>0.18483686229180896</v>
      </c>
      <c r="X347" s="12">
        <f t="shared" si="68"/>
        <v>10.533333333333333</v>
      </c>
      <c r="Y347" s="13">
        <f t="shared" si="69"/>
        <v>0.21056149732620322</v>
      </c>
      <c r="Z347" s="13">
        <f t="shared" si="70"/>
        <v>365.66748165936508</v>
      </c>
      <c r="AA347" s="13">
        <f t="shared" si="71"/>
        <v>300000000</v>
      </c>
    </row>
    <row r="348" spans="1:27" x14ac:dyDescent="0.25">
      <c r="A348" s="10" t="s">
        <v>407</v>
      </c>
      <c r="B348" s="11">
        <v>573700000</v>
      </c>
      <c r="C348" s="11"/>
      <c r="D348" s="11"/>
      <c r="E348" s="11"/>
      <c r="F348" s="11">
        <v>1409000000</v>
      </c>
      <c r="G348" s="11">
        <v>1181100000</v>
      </c>
      <c r="H348" s="11">
        <v>7665800000</v>
      </c>
      <c r="I348" s="11">
        <v>12010800000</v>
      </c>
      <c r="J348" s="11">
        <v>3004900000</v>
      </c>
      <c r="K348" s="11"/>
      <c r="L348" s="11">
        <v>38089595936.669998</v>
      </c>
      <c r="M348" s="11"/>
      <c r="N348" s="11">
        <v>1.46</v>
      </c>
      <c r="O348" s="11">
        <v>394100000</v>
      </c>
      <c r="P348" s="12">
        <f t="shared" si="60"/>
        <v>7.4838894831589661E-2</v>
      </c>
      <c r="Q348" s="12">
        <f t="shared" si="61"/>
        <v>4.77653445232624E-2</v>
      </c>
      <c r="R348" s="12" t="str">
        <f t="shared" si="62"/>
        <v/>
      </c>
      <c r="S348" s="12" t="str">
        <f t="shared" si="63"/>
        <v/>
      </c>
      <c r="T348" s="12" t="str">
        <f t="shared" si="64"/>
        <v/>
      </c>
      <c r="U348" s="13">
        <f t="shared" si="65"/>
        <v>2.1326472675656496</v>
      </c>
      <c r="V348" s="13">
        <f t="shared" si="66"/>
        <v>29.165717485216465</v>
      </c>
      <c r="W348" s="12">
        <f t="shared" si="67"/>
        <v>0.11068627175349322</v>
      </c>
      <c r="X348" s="12">
        <f t="shared" si="68"/>
        <v>0</v>
      </c>
      <c r="Y348" s="13">
        <f t="shared" si="69"/>
        <v>1.4557218979954327</v>
      </c>
      <c r="Z348" s="13">
        <f t="shared" si="70"/>
        <v>66.392881186456336</v>
      </c>
      <c r="AA348" s="13">
        <f t="shared" si="71"/>
        <v>392945205.47945207</v>
      </c>
    </row>
    <row r="349" spans="1:27" x14ac:dyDescent="0.25">
      <c r="A349" s="10" t="s">
        <v>408</v>
      </c>
      <c r="B349" s="11">
        <v>17087000000</v>
      </c>
      <c r="C349" s="11">
        <v>67357000000</v>
      </c>
      <c r="D349" s="11"/>
      <c r="E349" s="11">
        <v>20606000000</v>
      </c>
      <c r="F349" s="11">
        <v>28229000000</v>
      </c>
      <c r="G349" s="11">
        <v>-23686000000</v>
      </c>
      <c r="H349" s="11">
        <v>31479500000</v>
      </c>
      <c r="I349" s="11">
        <v>261759000000</v>
      </c>
      <c r="J349" s="11">
        <v>0</v>
      </c>
      <c r="K349" s="11"/>
      <c r="L349" s="11">
        <v>415421531136.20001</v>
      </c>
      <c r="M349" s="11">
        <v>5787000000</v>
      </c>
      <c r="N349" s="11">
        <v>5.86</v>
      </c>
      <c r="O349" s="11">
        <v>2914000000</v>
      </c>
      <c r="P349" s="12">
        <f t="shared" si="60"/>
        <v>0.542797693737194</v>
      </c>
      <c r="Q349" s="12">
        <f t="shared" si="61"/>
        <v>6.527760268032809E-2</v>
      </c>
      <c r="R349" s="12">
        <f t="shared" si="62"/>
        <v>0.25367816262600767</v>
      </c>
      <c r="S349" s="12">
        <f t="shared" si="63"/>
        <v>0.30592217586887777</v>
      </c>
      <c r="T349" s="12">
        <f t="shared" si="64"/>
        <v>0</v>
      </c>
      <c r="U349" s="13">
        <f t="shared" si="65"/>
        <v>0</v>
      </c>
      <c r="V349" s="13">
        <f t="shared" si="66"/>
        <v>14.716126364242447</v>
      </c>
      <c r="W349" s="12">
        <f t="shared" si="67"/>
        <v>-0.75242618211852152</v>
      </c>
      <c r="X349" s="12">
        <f t="shared" si="68"/>
        <v>0.33867852753555333</v>
      </c>
      <c r="Y349" s="13">
        <f t="shared" si="69"/>
        <v>5.8637611530542211</v>
      </c>
      <c r="Z349" s="13">
        <f t="shared" si="70"/>
        <v>24.312139704816527</v>
      </c>
      <c r="AA349" s="13">
        <f t="shared" si="71"/>
        <v>2915870307.1672354</v>
      </c>
    </row>
    <row r="350" spans="1:27" x14ac:dyDescent="0.25">
      <c r="A350" s="10" t="s">
        <v>409</v>
      </c>
      <c r="B350" s="11">
        <v>2603905000</v>
      </c>
      <c r="C350" s="11">
        <v>18205607000</v>
      </c>
      <c r="D350" s="11">
        <v>9399867000</v>
      </c>
      <c r="E350" s="11">
        <v>3560754000</v>
      </c>
      <c r="F350" s="11">
        <v>4085121000</v>
      </c>
      <c r="G350" s="11">
        <v>1913475000</v>
      </c>
      <c r="H350" s="11">
        <v>-1212255500</v>
      </c>
      <c r="I350" s="11">
        <v>16937178000</v>
      </c>
      <c r="J350" s="11">
        <v>4124168000</v>
      </c>
      <c r="K350" s="11"/>
      <c r="L350" s="11">
        <v>70540229800.610001</v>
      </c>
      <c r="M350" s="11"/>
      <c r="N350" s="11">
        <v>3.09</v>
      </c>
      <c r="O350" s="11">
        <v>842516000</v>
      </c>
      <c r="P350" s="12">
        <f t="shared" si="60"/>
        <v>-2.1479836552607927</v>
      </c>
      <c r="Q350" s="12">
        <f t="shared" si="61"/>
        <v>0.15373901130400827</v>
      </c>
      <c r="R350" s="12">
        <f t="shared" si="62"/>
        <v>0.14302763978152444</v>
      </c>
      <c r="S350" s="12">
        <f t="shared" si="63"/>
        <v>0.19558556877559755</v>
      </c>
      <c r="T350" s="12">
        <f t="shared" si="64"/>
        <v>0.51631714339433998</v>
      </c>
      <c r="U350" s="13">
        <f t="shared" si="65"/>
        <v>1.0095583460073765</v>
      </c>
      <c r="V350" s="13">
        <f t="shared" si="66"/>
        <v>18.277156980322001</v>
      </c>
      <c r="W350" s="12">
        <f t="shared" si="67"/>
        <v>0.65711967650126846</v>
      </c>
      <c r="X350" s="12">
        <f t="shared" si="68"/>
        <v>0</v>
      </c>
      <c r="Y350" s="13">
        <f t="shared" si="69"/>
        <v>3.0906297328478036</v>
      </c>
      <c r="Z350" s="13">
        <f t="shared" si="70"/>
        <v>27.09017026374234</v>
      </c>
      <c r="AA350" s="13">
        <f t="shared" si="71"/>
        <v>842687702.26537216</v>
      </c>
    </row>
    <row r="351" spans="1:27" x14ac:dyDescent="0.25">
      <c r="A351" s="10" t="s">
        <v>410</v>
      </c>
      <c r="B351" s="11">
        <v>1481000000</v>
      </c>
      <c r="C351" s="11">
        <v>14647000000</v>
      </c>
      <c r="D351" s="11"/>
      <c r="E351" s="11">
        <v>2261000000</v>
      </c>
      <c r="F351" s="11">
        <v>2374000000</v>
      </c>
      <c r="G351" s="11">
        <v>1668000000</v>
      </c>
      <c r="H351" s="11">
        <v>-5404000000</v>
      </c>
      <c r="I351" s="11">
        <v>10542000000</v>
      </c>
      <c r="J351" s="11">
        <v>7574000000</v>
      </c>
      <c r="K351" s="11"/>
      <c r="L351" s="11">
        <v>27627557472</v>
      </c>
      <c r="M351" s="11">
        <v>655000000</v>
      </c>
      <c r="N351" s="11">
        <v>3.8</v>
      </c>
      <c r="O351" s="11">
        <v>389600000</v>
      </c>
      <c r="P351" s="12">
        <f t="shared" si="60"/>
        <v>-0.27405625462620281</v>
      </c>
      <c r="Q351" s="12">
        <f t="shared" si="61"/>
        <v>0.14048567634225004</v>
      </c>
      <c r="R351" s="12">
        <f t="shared" si="62"/>
        <v>0.10111285587492319</v>
      </c>
      <c r="S351" s="12">
        <f t="shared" si="63"/>
        <v>0.15436608179149314</v>
      </c>
      <c r="T351" s="12">
        <f t="shared" si="64"/>
        <v>0</v>
      </c>
      <c r="U351" s="13">
        <f t="shared" si="65"/>
        <v>3.1903959561920807</v>
      </c>
      <c r="V351" s="13">
        <f t="shared" si="66"/>
        <v>14.827951757371524</v>
      </c>
      <c r="W351" s="12">
        <f t="shared" si="67"/>
        <v>0.76866359447004606</v>
      </c>
      <c r="X351" s="12">
        <f t="shared" si="68"/>
        <v>0.4422687373396354</v>
      </c>
      <c r="Y351" s="13">
        <f t="shared" si="69"/>
        <v>3.8013347022587269</v>
      </c>
      <c r="Z351" s="13">
        <f t="shared" si="70"/>
        <v>18.654664059419311</v>
      </c>
      <c r="AA351" s="13">
        <f t="shared" si="71"/>
        <v>389736842.10526317</v>
      </c>
    </row>
    <row r="352" spans="1:27" x14ac:dyDescent="0.25">
      <c r="A352" s="10" t="s">
        <v>411</v>
      </c>
      <c r="B352" s="11">
        <v>4321000000</v>
      </c>
      <c r="C352" s="11">
        <v>20020000000</v>
      </c>
      <c r="D352" s="11"/>
      <c r="E352" s="11"/>
      <c r="F352" s="11"/>
      <c r="G352" s="11">
        <v>3592000000</v>
      </c>
      <c r="H352" s="11">
        <v>36822000000</v>
      </c>
      <c r="I352" s="11">
        <v>80464000000</v>
      </c>
      <c r="J352" s="11">
        <v>14707000000</v>
      </c>
      <c r="K352" s="11"/>
      <c r="L352" s="11">
        <v>52019394103.449997</v>
      </c>
      <c r="M352" s="11">
        <v>1184000000</v>
      </c>
      <c r="N352" s="11">
        <v>4.29</v>
      </c>
      <c r="O352" s="11">
        <v>1006900000</v>
      </c>
      <c r="P352" s="12">
        <f t="shared" si="60"/>
        <v>0.11734832437129977</v>
      </c>
      <c r="Q352" s="12">
        <f t="shared" si="61"/>
        <v>5.3701034002783851E-2</v>
      </c>
      <c r="R352" s="12">
        <f t="shared" si="62"/>
        <v>0.21583416583416584</v>
      </c>
      <c r="S352" s="12">
        <f t="shared" si="63"/>
        <v>0</v>
      </c>
      <c r="T352" s="12">
        <f t="shared" si="64"/>
        <v>0</v>
      </c>
      <c r="U352" s="13" t="str">
        <f t="shared" si="65"/>
        <v/>
      </c>
      <c r="V352" s="13" t="str">
        <f t="shared" si="66"/>
        <v/>
      </c>
      <c r="W352" s="12">
        <f t="shared" si="67"/>
        <v>6.9708319587028666E-2</v>
      </c>
      <c r="X352" s="12">
        <f t="shared" si="68"/>
        <v>0.27401064568386946</v>
      </c>
      <c r="Y352" s="13">
        <f t="shared" si="69"/>
        <v>4.2913894130499557</v>
      </c>
      <c r="Z352" s="13">
        <f t="shared" si="70"/>
        <v>12.038739667542234</v>
      </c>
      <c r="AA352" s="13">
        <f t="shared" si="71"/>
        <v>1007226107.2261072</v>
      </c>
    </row>
    <row r="353" spans="1:27" x14ac:dyDescent="0.25">
      <c r="A353" s="10" t="s">
        <v>412</v>
      </c>
      <c r="B353" s="11">
        <v>842800000</v>
      </c>
      <c r="C353" s="11">
        <v>10606300000</v>
      </c>
      <c r="D353" s="11">
        <v>7630300000</v>
      </c>
      <c r="E353" s="11">
        <v>1020200000</v>
      </c>
      <c r="F353" s="11">
        <v>1618000000</v>
      </c>
      <c r="G353" s="11"/>
      <c r="H353" s="11">
        <v>17449000000</v>
      </c>
      <c r="I353" s="11">
        <v>46266000000</v>
      </c>
      <c r="J353" s="11">
        <v>1991500000</v>
      </c>
      <c r="K353" s="11"/>
      <c r="L353" s="11">
        <v>275722648010.25</v>
      </c>
      <c r="M353" s="11"/>
      <c r="N353" s="11">
        <v>1.1299999999999999</v>
      </c>
      <c r="O353" s="11">
        <v>744000000</v>
      </c>
      <c r="P353" s="12">
        <f t="shared" si="60"/>
        <v>4.8300762221330736E-2</v>
      </c>
      <c r="Q353" s="12">
        <f t="shared" si="61"/>
        <v>1.8216400812691824E-2</v>
      </c>
      <c r="R353" s="12">
        <f t="shared" si="62"/>
        <v>7.9462206424483567E-2</v>
      </c>
      <c r="S353" s="12">
        <f t="shared" si="63"/>
        <v>9.6188114611127348E-2</v>
      </c>
      <c r="T353" s="12">
        <f t="shared" si="64"/>
        <v>0.7194120475566409</v>
      </c>
      <c r="U353" s="13">
        <f t="shared" si="65"/>
        <v>1.230840543881335</v>
      </c>
      <c r="V353" s="13">
        <f t="shared" si="66"/>
        <v>171.64038813983314</v>
      </c>
      <c r="W353" s="12">
        <f t="shared" si="67"/>
        <v>0</v>
      </c>
      <c r="X353" s="12">
        <f t="shared" si="68"/>
        <v>0</v>
      </c>
      <c r="Y353" s="13">
        <f t="shared" si="69"/>
        <v>1.1327956989247312</v>
      </c>
      <c r="Z353" s="13">
        <f t="shared" si="70"/>
        <v>327.15074514742525</v>
      </c>
      <c r="AA353" s="13">
        <f t="shared" si="71"/>
        <v>745840707.96460187</v>
      </c>
    </row>
    <row r="354" spans="1:27" x14ac:dyDescent="0.25">
      <c r="A354" s="10" t="s">
        <v>413</v>
      </c>
      <c r="B354" s="11"/>
      <c r="C354" s="11">
        <v>6333800000</v>
      </c>
      <c r="D354" s="11"/>
      <c r="E354" s="11">
        <v>2336900000</v>
      </c>
      <c r="F354" s="11">
        <v>2752000000</v>
      </c>
      <c r="G354" s="11">
        <v>2090100000</v>
      </c>
      <c r="H354" s="11">
        <v>4065100000</v>
      </c>
      <c r="I354" s="11">
        <v>17511400000</v>
      </c>
      <c r="J354" s="11">
        <v>4954100000</v>
      </c>
      <c r="K354" s="11"/>
      <c r="L354" s="11">
        <v>37786056759.639999</v>
      </c>
      <c r="M354" s="11"/>
      <c r="N354" s="11"/>
      <c r="O354" s="11"/>
      <c r="P354" s="12">
        <f t="shared" si="60"/>
        <v>0</v>
      </c>
      <c r="Q354" s="12">
        <f t="shared" si="61"/>
        <v>0</v>
      </c>
      <c r="R354" s="12">
        <f t="shared" si="62"/>
        <v>0</v>
      </c>
      <c r="S354" s="12">
        <f t="shared" si="63"/>
        <v>0.36895702421926807</v>
      </c>
      <c r="T354" s="12">
        <f t="shared" si="64"/>
        <v>0</v>
      </c>
      <c r="U354" s="13">
        <f t="shared" si="65"/>
        <v>1.8001816860465116</v>
      </c>
      <c r="V354" s="13">
        <f t="shared" si="66"/>
        <v>15.530580217892442</v>
      </c>
      <c r="W354" s="12">
        <f t="shared" si="67"/>
        <v>0.2317389568919638</v>
      </c>
      <c r="X354" s="12" t="str">
        <f t="shared" si="68"/>
        <v/>
      </c>
      <c r="Y354" s="13" t="str">
        <f t="shared" si="69"/>
        <v/>
      </c>
      <c r="Z354" s="13" t="str">
        <f t="shared" si="70"/>
        <v/>
      </c>
      <c r="AA354" s="13" t="str">
        <f t="shared" si="71"/>
        <v/>
      </c>
    </row>
    <row r="355" spans="1:27" x14ac:dyDescent="0.25">
      <c r="A355" s="10" t="s">
        <v>414</v>
      </c>
      <c r="B355" s="11">
        <v>2476000000</v>
      </c>
      <c r="C355" s="11">
        <v>27779600000</v>
      </c>
      <c r="D355" s="11"/>
      <c r="E355" s="11"/>
      <c r="F355" s="11"/>
      <c r="G355" s="11">
        <v>3752200000</v>
      </c>
      <c r="H355" s="11">
        <v>18889350000</v>
      </c>
      <c r="I355" s="11">
        <v>43553500000</v>
      </c>
      <c r="J355" s="11"/>
      <c r="K355" s="11"/>
      <c r="L355" s="11">
        <v>64880565668.68</v>
      </c>
      <c r="M355" s="11">
        <v>1429500000</v>
      </c>
      <c r="N355" s="11">
        <v>4.6900000000000004</v>
      </c>
      <c r="O355" s="11">
        <v>527400000</v>
      </c>
      <c r="P355" s="12">
        <f t="shared" si="60"/>
        <v>0.13107915306773393</v>
      </c>
      <c r="Q355" s="12">
        <f t="shared" si="61"/>
        <v>5.6849621729596934E-2</v>
      </c>
      <c r="R355" s="12">
        <f t="shared" si="62"/>
        <v>8.9130153061959136E-2</v>
      </c>
      <c r="S355" s="12">
        <f t="shared" si="63"/>
        <v>0</v>
      </c>
      <c r="T355" s="12">
        <f t="shared" si="64"/>
        <v>0</v>
      </c>
      <c r="U355" s="13" t="str">
        <f t="shared" si="65"/>
        <v/>
      </c>
      <c r="V355" s="13" t="str">
        <f t="shared" si="66"/>
        <v/>
      </c>
      <c r="W355" s="12">
        <f t="shared" si="67"/>
        <v>0.19864103317477838</v>
      </c>
      <c r="X355" s="12">
        <f t="shared" si="68"/>
        <v>0.57734248788368336</v>
      </c>
      <c r="Y355" s="13">
        <f t="shared" si="69"/>
        <v>4.6947288585513842</v>
      </c>
      <c r="Z355" s="13">
        <f t="shared" si="70"/>
        <v>26.203782580242326</v>
      </c>
      <c r="AA355" s="13">
        <f t="shared" si="71"/>
        <v>527931769.72281444</v>
      </c>
    </row>
    <row r="356" spans="1:27" x14ac:dyDescent="0.25">
      <c r="A356" s="10" t="s">
        <v>415</v>
      </c>
      <c r="B356" s="11"/>
      <c r="C356" s="11">
        <v>25833000000</v>
      </c>
      <c r="D356" s="11"/>
      <c r="E356" s="11">
        <v>4999000000</v>
      </c>
      <c r="F356" s="11"/>
      <c r="G356" s="11">
        <v>-4210000000</v>
      </c>
      <c r="H356" s="11">
        <v>31967500000</v>
      </c>
      <c r="I356" s="11">
        <v>141953000000</v>
      </c>
      <c r="J356" s="11">
        <v>57387000000</v>
      </c>
      <c r="K356" s="11"/>
      <c r="L356" s="11">
        <v>37834221499.110001</v>
      </c>
      <c r="M356" s="11"/>
      <c r="N356" s="11"/>
      <c r="O356" s="11"/>
      <c r="P356" s="12">
        <f t="shared" si="60"/>
        <v>0</v>
      </c>
      <c r="Q356" s="12">
        <f t="shared" si="61"/>
        <v>0</v>
      </c>
      <c r="R356" s="12">
        <f t="shared" si="62"/>
        <v>0</v>
      </c>
      <c r="S356" s="12">
        <f t="shared" si="63"/>
        <v>0.19351217435063678</v>
      </c>
      <c r="T356" s="12">
        <f t="shared" si="64"/>
        <v>0</v>
      </c>
      <c r="U356" s="13" t="str">
        <f t="shared" si="65"/>
        <v/>
      </c>
      <c r="V356" s="13" t="str">
        <f t="shared" si="66"/>
        <v/>
      </c>
      <c r="W356" s="12">
        <f t="shared" si="67"/>
        <v>-4.7115702063130566E-2</v>
      </c>
      <c r="X356" s="12" t="str">
        <f t="shared" si="68"/>
        <v/>
      </c>
      <c r="Y356" s="13" t="str">
        <f t="shared" si="69"/>
        <v/>
      </c>
      <c r="Z356" s="13" t="str">
        <f t="shared" si="70"/>
        <v/>
      </c>
      <c r="AA356" s="13" t="str">
        <f t="shared" si="71"/>
        <v/>
      </c>
    </row>
    <row r="357" spans="1:27" x14ac:dyDescent="0.25">
      <c r="A357" s="10" t="s">
        <v>416</v>
      </c>
      <c r="B357" s="11">
        <v>2263000000</v>
      </c>
      <c r="C357" s="11">
        <v>12794000000</v>
      </c>
      <c r="D357" s="11"/>
      <c r="E357" s="11">
        <v>3258000000</v>
      </c>
      <c r="F357" s="11"/>
      <c r="G357" s="11">
        <v>183000000</v>
      </c>
      <c r="H357" s="11"/>
      <c r="I357" s="11">
        <v>57945000000</v>
      </c>
      <c r="J357" s="11">
        <v>23090000000</v>
      </c>
      <c r="K357" s="11"/>
      <c r="L357" s="11">
        <v>39950425885.889999</v>
      </c>
      <c r="M357" s="11">
        <v>1278000000</v>
      </c>
      <c r="N357" s="11">
        <v>4.53</v>
      </c>
      <c r="O357" s="11">
        <v>500000000</v>
      </c>
      <c r="P357" s="12" t="str">
        <f t="shared" si="60"/>
        <v/>
      </c>
      <c r="Q357" s="12">
        <f t="shared" si="61"/>
        <v>3.9054275606178274E-2</v>
      </c>
      <c r="R357" s="12">
        <f t="shared" si="62"/>
        <v>0.17687978740034391</v>
      </c>
      <c r="S357" s="12">
        <f t="shared" si="63"/>
        <v>0.25465061747694234</v>
      </c>
      <c r="T357" s="12">
        <f t="shared" si="64"/>
        <v>0</v>
      </c>
      <c r="U357" s="13" t="str">
        <f t="shared" si="65"/>
        <v/>
      </c>
      <c r="V357" s="13" t="str">
        <f t="shared" si="66"/>
        <v/>
      </c>
      <c r="W357" s="12">
        <f t="shared" si="67"/>
        <v>7.925508878302295E-3</v>
      </c>
      <c r="X357" s="12">
        <f t="shared" si="68"/>
        <v>0.56473707467962886</v>
      </c>
      <c r="Y357" s="13">
        <f t="shared" si="69"/>
        <v>4.5259999999999998</v>
      </c>
      <c r="Z357" s="13">
        <f t="shared" si="70"/>
        <v>17.653745420190013</v>
      </c>
      <c r="AA357" s="13">
        <f t="shared" si="71"/>
        <v>499558498.89624721</v>
      </c>
    </row>
    <row r="358" spans="1:27" x14ac:dyDescent="0.25">
      <c r="A358" s="10" t="s">
        <v>417</v>
      </c>
      <c r="B358" s="11">
        <v>8733000000</v>
      </c>
      <c r="C358" s="11">
        <v>95449000000</v>
      </c>
      <c r="D358" s="11">
        <v>51597000000</v>
      </c>
      <c r="E358" s="11">
        <v>12128000000</v>
      </c>
      <c r="F358" s="11">
        <v>15637000000</v>
      </c>
      <c r="G358" s="11">
        <v>8842000000</v>
      </c>
      <c r="H358" s="11">
        <v>19886000000</v>
      </c>
      <c r="I358" s="11">
        <v>110646000000</v>
      </c>
      <c r="J358" s="11">
        <v>46351000000</v>
      </c>
      <c r="K358" s="11"/>
      <c r="L358" s="11">
        <v>188446482407.07001</v>
      </c>
      <c r="M358" s="11">
        <v>7722000000</v>
      </c>
      <c r="N358" s="11">
        <v>6.37</v>
      </c>
      <c r="O358" s="11">
        <v>1371000000</v>
      </c>
      <c r="P358" s="12">
        <f t="shared" si="60"/>
        <v>0.43915317308659357</v>
      </c>
      <c r="Q358" s="12">
        <f t="shared" si="61"/>
        <v>7.8927390054769259E-2</v>
      </c>
      <c r="R358" s="12">
        <f t="shared" si="62"/>
        <v>9.1493886787708617E-2</v>
      </c>
      <c r="S358" s="12">
        <f t="shared" si="63"/>
        <v>0.12706261982839004</v>
      </c>
      <c r="T358" s="12">
        <f t="shared" si="64"/>
        <v>0.54057140462445918</v>
      </c>
      <c r="U358" s="13">
        <f t="shared" si="65"/>
        <v>2.9641875039969303</v>
      </c>
      <c r="V358" s="13">
        <f t="shared" si="66"/>
        <v>15.015506964703588</v>
      </c>
      <c r="W358" s="12">
        <f t="shared" si="67"/>
        <v>0.13349034527529929</v>
      </c>
      <c r="X358" s="12">
        <f t="shared" si="68"/>
        <v>0.88423222260391621</v>
      </c>
      <c r="Y358" s="13">
        <f t="shared" si="69"/>
        <v>6.3698030634573302</v>
      </c>
      <c r="Z358" s="13">
        <f t="shared" si="70"/>
        <v>21.578665110164891</v>
      </c>
      <c r="AA358" s="13">
        <f t="shared" si="71"/>
        <v>1370957613.8147566</v>
      </c>
    </row>
    <row r="359" spans="1:27" x14ac:dyDescent="0.25">
      <c r="A359" s="10" t="s">
        <v>418</v>
      </c>
      <c r="B359" s="11">
        <v>7491000000</v>
      </c>
      <c r="C359" s="11">
        <v>63315000000</v>
      </c>
      <c r="D359" s="11"/>
      <c r="E359" s="11"/>
      <c r="F359" s="11"/>
      <c r="G359" s="11">
        <v>9483000000</v>
      </c>
      <c r="H359" s="11">
        <v>90219500000</v>
      </c>
      <c r="I359" s="11">
        <v>207618000000</v>
      </c>
      <c r="J359" s="11">
        <v>4000000000</v>
      </c>
      <c r="K359" s="11"/>
      <c r="L359" s="11">
        <v>138211521098.25</v>
      </c>
      <c r="M359" s="11"/>
      <c r="N359" s="11">
        <v>1.31</v>
      </c>
      <c r="O359" s="11">
        <v>5731000000</v>
      </c>
      <c r="P359" s="12">
        <f t="shared" si="60"/>
        <v>8.3030830363724023E-2</v>
      </c>
      <c r="Q359" s="12">
        <f t="shared" si="61"/>
        <v>3.6080686645666563E-2</v>
      </c>
      <c r="R359" s="12">
        <f t="shared" si="62"/>
        <v>0.11831319592513623</v>
      </c>
      <c r="S359" s="12">
        <f t="shared" si="63"/>
        <v>0</v>
      </c>
      <c r="T359" s="12">
        <f t="shared" si="64"/>
        <v>0</v>
      </c>
      <c r="U359" s="13" t="str">
        <f t="shared" si="65"/>
        <v/>
      </c>
      <c r="V359" s="13" t="str">
        <f t="shared" si="66"/>
        <v/>
      </c>
      <c r="W359" s="12">
        <f t="shared" si="67"/>
        <v>0.1006479550411539</v>
      </c>
      <c r="X359" s="12">
        <f t="shared" si="68"/>
        <v>0</v>
      </c>
      <c r="Y359" s="13">
        <f t="shared" si="69"/>
        <v>1.307101727447217</v>
      </c>
      <c r="Z359" s="13">
        <f t="shared" si="70"/>
        <v>18.450343224969963</v>
      </c>
      <c r="AA359" s="13">
        <f t="shared" si="71"/>
        <v>5718320610.6870222</v>
      </c>
    </row>
    <row r="360" spans="1:27" x14ac:dyDescent="0.25">
      <c r="A360" s="10" t="s">
        <v>419</v>
      </c>
      <c r="B360" s="11">
        <v>1561600000</v>
      </c>
      <c r="C360" s="11">
        <v>15458700000</v>
      </c>
      <c r="D360" s="11"/>
      <c r="E360" s="11"/>
      <c r="F360" s="11"/>
      <c r="G360" s="11"/>
      <c r="H360" s="11">
        <v>11516050000</v>
      </c>
      <c r="I360" s="11">
        <v>332704500000</v>
      </c>
      <c r="J360" s="11">
        <v>3927700000</v>
      </c>
      <c r="K360" s="11"/>
      <c r="L360" s="11">
        <v>24122102525.75</v>
      </c>
      <c r="M360" s="11">
        <v>688500000</v>
      </c>
      <c r="N360" s="11">
        <v>7.09</v>
      </c>
      <c r="O360" s="11">
        <v>220300000</v>
      </c>
      <c r="P360" s="12">
        <f t="shared" si="60"/>
        <v>0.13560205105049039</v>
      </c>
      <c r="Q360" s="12">
        <f t="shared" si="61"/>
        <v>4.6936545793639702E-3</v>
      </c>
      <c r="R360" s="12">
        <f t="shared" si="62"/>
        <v>0.10101754998803263</v>
      </c>
      <c r="S360" s="12">
        <f t="shared" si="63"/>
        <v>0</v>
      </c>
      <c r="T360" s="12">
        <f t="shared" si="64"/>
        <v>0</v>
      </c>
      <c r="U360" s="13" t="str">
        <f t="shared" si="65"/>
        <v/>
      </c>
      <c r="V360" s="13" t="str">
        <f t="shared" si="66"/>
        <v/>
      </c>
      <c r="W360" s="12">
        <f t="shared" si="67"/>
        <v>0</v>
      </c>
      <c r="X360" s="12">
        <f t="shared" si="68"/>
        <v>0.44089395491803279</v>
      </c>
      <c r="Y360" s="13">
        <f t="shared" si="69"/>
        <v>7.0885156604630053</v>
      </c>
      <c r="Z360" s="13">
        <f t="shared" si="70"/>
        <v>15.447043113313269</v>
      </c>
      <c r="AA360" s="13">
        <f t="shared" si="71"/>
        <v>220253878.70239773</v>
      </c>
    </row>
    <row r="361" spans="1:27" x14ac:dyDescent="0.25">
      <c r="A361" s="10" t="s">
        <v>420</v>
      </c>
      <c r="B361" s="11">
        <v>16617000000</v>
      </c>
      <c r="C361" s="11">
        <v>86717000000</v>
      </c>
      <c r="D361" s="11"/>
      <c r="E361" s="11">
        <v>20153000000</v>
      </c>
      <c r="F361" s="11">
        <v>23224000000</v>
      </c>
      <c r="G361" s="11">
        <v>15028000000</v>
      </c>
      <c r="H361" s="11"/>
      <c r="I361" s="11">
        <v>128378000000</v>
      </c>
      <c r="J361" s="11">
        <v>23852000000</v>
      </c>
      <c r="K361" s="11"/>
      <c r="L361" s="11">
        <v>341954774131.94</v>
      </c>
      <c r="M361" s="11">
        <v>10176000000</v>
      </c>
      <c r="N361" s="11">
        <v>6.85</v>
      </c>
      <c r="O361" s="11">
        <v>2425800000</v>
      </c>
      <c r="P361" s="12" t="str">
        <f t="shared" si="60"/>
        <v/>
      </c>
      <c r="Q361" s="12">
        <f t="shared" si="61"/>
        <v>0.12943806571219368</v>
      </c>
      <c r="R361" s="12">
        <f t="shared" si="62"/>
        <v>0.19162332645271399</v>
      </c>
      <c r="S361" s="12">
        <f t="shared" si="63"/>
        <v>0.23239964482166126</v>
      </c>
      <c r="T361" s="12">
        <f t="shared" si="64"/>
        <v>0</v>
      </c>
      <c r="U361" s="13">
        <f t="shared" si="65"/>
        <v>1.0270409920771615</v>
      </c>
      <c r="V361" s="13">
        <f t="shared" si="66"/>
        <v>15.751238982601619</v>
      </c>
      <c r="W361" s="12">
        <f t="shared" si="67"/>
        <v>0.63005198725473754</v>
      </c>
      <c r="X361" s="12">
        <f t="shared" si="68"/>
        <v>0.61238490702292836</v>
      </c>
      <c r="Y361" s="13">
        <f t="shared" si="69"/>
        <v>6.850111303487509</v>
      </c>
      <c r="Z361" s="13">
        <f t="shared" si="70"/>
        <v>20.578610707825721</v>
      </c>
      <c r="AA361" s="13">
        <f t="shared" si="71"/>
        <v>2425839416.0583944</v>
      </c>
    </row>
    <row r="362" spans="1:27" x14ac:dyDescent="0.25">
      <c r="A362" s="10" t="s">
        <v>421</v>
      </c>
      <c r="B362" s="11">
        <v>11559000000</v>
      </c>
      <c r="C362" s="11">
        <v>89450000000</v>
      </c>
      <c r="D362" s="11"/>
      <c r="E362" s="11"/>
      <c r="F362" s="11"/>
      <c r="G362" s="11">
        <v>16420000000</v>
      </c>
      <c r="H362" s="11">
        <v>30496500000</v>
      </c>
      <c r="I362" s="11">
        <v>122209000000</v>
      </c>
      <c r="J362" s="11"/>
      <c r="K362" s="11"/>
      <c r="L362" s="11">
        <v>133626546487.42999</v>
      </c>
      <c r="M362" s="11">
        <v>8148000000</v>
      </c>
      <c r="N362" s="11">
        <v>19.7</v>
      </c>
      <c r="O362" s="11">
        <v>586900000</v>
      </c>
      <c r="P362" s="12">
        <f t="shared" si="60"/>
        <v>0.37902710147066054</v>
      </c>
      <c r="Q362" s="12">
        <f t="shared" si="61"/>
        <v>9.4583868618514186E-2</v>
      </c>
      <c r="R362" s="12">
        <f t="shared" si="62"/>
        <v>0.12922302962548909</v>
      </c>
      <c r="S362" s="12">
        <f t="shared" si="63"/>
        <v>0</v>
      </c>
      <c r="T362" s="12">
        <f t="shared" si="64"/>
        <v>0</v>
      </c>
      <c r="U362" s="13" t="str">
        <f t="shared" si="65"/>
        <v/>
      </c>
      <c r="V362" s="13" t="str">
        <f t="shared" si="66"/>
        <v/>
      </c>
      <c r="W362" s="12">
        <f t="shared" si="67"/>
        <v>0.53842244191956457</v>
      </c>
      <c r="X362" s="12">
        <f t="shared" si="68"/>
        <v>0.7049052686218531</v>
      </c>
      <c r="Y362" s="13">
        <f t="shared" si="69"/>
        <v>19.695007667405008</v>
      </c>
      <c r="Z362" s="13">
        <f t="shared" si="70"/>
        <v>11.560389868278397</v>
      </c>
      <c r="AA362" s="13">
        <f t="shared" si="71"/>
        <v>586751269.03553307</v>
      </c>
    </row>
    <row r="363" spans="1:27" x14ac:dyDescent="0.25">
      <c r="A363" s="10" t="s">
        <v>422</v>
      </c>
      <c r="B363" s="11">
        <v>1537023000</v>
      </c>
      <c r="C363" s="11">
        <v>20987074000</v>
      </c>
      <c r="D363" s="11"/>
      <c r="E363" s="11">
        <v>4782467000</v>
      </c>
      <c r="F363" s="11">
        <v>5137013000</v>
      </c>
      <c r="G363" s="11">
        <v>3678392000</v>
      </c>
      <c r="H363" s="11">
        <v>13999987000</v>
      </c>
      <c r="I363" s="11">
        <v>30679000000</v>
      </c>
      <c r="J363" s="11">
        <v>7501000000</v>
      </c>
      <c r="K363" s="11"/>
      <c r="L363" s="11">
        <v>119677415692.33</v>
      </c>
      <c r="M363" s="11">
        <v>913832000</v>
      </c>
      <c r="N363" s="11">
        <v>11.99</v>
      </c>
      <c r="O363" s="11">
        <v>128200000</v>
      </c>
      <c r="P363" s="12">
        <f t="shared" si="60"/>
        <v>0.10978745908835487</v>
      </c>
      <c r="Q363" s="12">
        <f t="shared" si="61"/>
        <v>5.0100166237491445E-2</v>
      </c>
      <c r="R363" s="12">
        <f t="shared" si="62"/>
        <v>7.3236650330579675E-2</v>
      </c>
      <c r="S363" s="12">
        <f t="shared" si="63"/>
        <v>0.22787678739780495</v>
      </c>
      <c r="T363" s="12">
        <f t="shared" si="64"/>
        <v>0</v>
      </c>
      <c r="U363" s="13">
        <f t="shared" si="65"/>
        <v>1.4601870775876955</v>
      </c>
      <c r="V363" s="13">
        <f t="shared" si="66"/>
        <v>24.757269582991128</v>
      </c>
      <c r="W363" s="12">
        <f t="shared" si="67"/>
        <v>0.17108014622770573</v>
      </c>
      <c r="X363" s="12">
        <f t="shared" si="68"/>
        <v>0.59454673092074739</v>
      </c>
      <c r="Y363" s="13">
        <f t="shared" si="69"/>
        <v>11.989258970358815</v>
      </c>
      <c r="Z363" s="13">
        <f t="shared" si="70"/>
        <v>77.863126116089347</v>
      </c>
      <c r="AA363" s="13">
        <f t="shared" si="71"/>
        <v>128192076.73060884</v>
      </c>
    </row>
    <row r="364" spans="1:27" x14ac:dyDescent="0.25">
      <c r="A364" s="10" t="s">
        <v>423</v>
      </c>
      <c r="B364" s="11">
        <v>2042927000</v>
      </c>
      <c r="C364" s="11"/>
      <c r="D364" s="11"/>
      <c r="E364" s="11"/>
      <c r="F364" s="11"/>
      <c r="G364" s="11">
        <v>1778266000</v>
      </c>
      <c r="H364" s="11">
        <v>12627562000</v>
      </c>
      <c r="I364" s="11">
        <v>18195980000</v>
      </c>
      <c r="J364" s="11">
        <v>43900000</v>
      </c>
      <c r="K364" s="11"/>
      <c r="L364" s="11">
        <v>23566971825.689999</v>
      </c>
      <c r="M364" s="11">
        <v>182897000</v>
      </c>
      <c r="N364" s="11">
        <v>10.56</v>
      </c>
      <c r="O364" s="11">
        <v>193403000</v>
      </c>
      <c r="P364" s="12">
        <f t="shared" si="60"/>
        <v>0.16178316922934133</v>
      </c>
      <c r="Q364" s="12">
        <f t="shared" si="61"/>
        <v>0.11227353514347675</v>
      </c>
      <c r="R364" s="12" t="str">
        <f t="shared" si="62"/>
        <v/>
      </c>
      <c r="S364" s="12" t="str">
        <f t="shared" si="63"/>
        <v/>
      </c>
      <c r="T364" s="12" t="str">
        <f t="shared" si="64"/>
        <v/>
      </c>
      <c r="U364" s="13" t="str">
        <f t="shared" si="65"/>
        <v/>
      </c>
      <c r="V364" s="13" t="str">
        <f t="shared" si="66"/>
        <v/>
      </c>
      <c r="W364" s="12">
        <f t="shared" si="67"/>
        <v>0.14033629268666867</v>
      </c>
      <c r="X364" s="12">
        <f t="shared" si="68"/>
        <v>8.952693855433895E-2</v>
      </c>
      <c r="Y364" s="13">
        <f t="shared" si="69"/>
        <v>10.563057449987848</v>
      </c>
      <c r="Z364" s="13">
        <f t="shared" si="70"/>
        <v>11.535885435793839</v>
      </c>
      <c r="AA364" s="13">
        <f t="shared" si="71"/>
        <v>193458996.21212119</v>
      </c>
    </row>
    <row r="365" spans="1:27" x14ac:dyDescent="0.25">
      <c r="A365" s="10" t="s">
        <v>424</v>
      </c>
      <c r="B365" s="11">
        <v>741200000</v>
      </c>
      <c r="C365" s="11">
        <v>9216100000</v>
      </c>
      <c r="D365" s="11">
        <v>1887800000</v>
      </c>
      <c r="E365" s="11">
        <v>1078000000</v>
      </c>
      <c r="F365" s="11">
        <v>1818000000</v>
      </c>
      <c r="G365" s="11">
        <v>702200000</v>
      </c>
      <c r="H365" s="11">
        <v>4543500000</v>
      </c>
      <c r="I365" s="11">
        <v>10777900000</v>
      </c>
      <c r="J365" s="11">
        <v>3992500000</v>
      </c>
      <c r="K365" s="11"/>
      <c r="L365" s="11">
        <v>20001755754.459999</v>
      </c>
      <c r="M365" s="11">
        <v>449200000</v>
      </c>
      <c r="N365" s="11">
        <v>8.32</v>
      </c>
      <c r="O365" s="11">
        <v>89100000</v>
      </c>
      <c r="P365" s="12">
        <f t="shared" si="60"/>
        <v>0.1631341476835039</v>
      </c>
      <c r="Q365" s="12">
        <f t="shared" si="61"/>
        <v>6.8770354150623034E-2</v>
      </c>
      <c r="R365" s="12">
        <f t="shared" si="62"/>
        <v>8.0424474560822912E-2</v>
      </c>
      <c r="S365" s="12">
        <f t="shared" si="63"/>
        <v>0.11696921691387897</v>
      </c>
      <c r="T365" s="12">
        <f t="shared" si="64"/>
        <v>0.20483718709649418</v>
      </c>
      <c r="U365" s="13">
        <f t="shared" si="65"/>
        <v>2.1960946094609461</v>
      </c>
      <c r="V365" s="13">
        <f t="shared" si="66"/>
        <v>13.1981604810011</v>
      </c>
      <c r="W365" s="12">
        <f t="shared" si="67"/>
        <v>8.2263355201499536E-2</v>
      </c>
      <c r="X365" s="12">
        <f t="shared" si="68"/>
        <v>0.60604425256341066</v>
      </c>
      <c r="Y365" s="13">
        <f t="shared" si="69"/>
        <v>8.3187429854096528</v>
      </c>
      <c r="Z365" s="13">
        <f t="shared" si="70"/>
        <v>26.985639172234215</v>
      </c>
      <c r="AA365" s="13">
        <f t="shared" si="71"/>
        <v>89086538.461538464</v>
      </c>
    </row>
    <row r="366" spans="1:27" x14ac:dyDescent="0.25">
      <c r="A366" s="10" t="s">
        <v>425</v>
      </c>
      <c r="B366" s="11">
        <v>3717254000</v>
      </c>
      <c r="C366" s="11">
        <v>8948185000</v>
      </c>
      <c r="D366" s="11"/>
      <c r="E366" s="11">
        <v>4690506000</v>
      </c>
      <c r="F366" s="11">
        <v>7395982000</v>
      </c>
      <c r="G366" s="11"/>
      <c r="H366" s="11">
        <v>53485305500</v>
      </c>
      <c r="I366" s="11">
        <v>98133451000</v>
      </c>
      <c r="J366" s="11">
        <v>34669592000</v>
      </c>
      <c r="K366" s="11"/>
      <c r="L366" s="11">
        <v>131795300249.05</v>
      </c>
      <c r="M366" s="11">
        <v>3825402000</v>
      </c>
      <c r="N366" s="11">
        <v>3.88</v>
      </c>
      <c r="O366" s="11">
        <v>957561000</v>
      </c>
      <c r="P366" s="12">
        <f t="shared" si="60"/>
        <v>6.9500472424150223E-2</v>
      </c>
      <c r="Q366" s="12">
        <f t="shared" si="61"/>
        <v>3.7879580939225298E-2</v>
      </c>
      <c r="R366" s="12">
        <f t="shared" si="62"/>
        <v>0.41541988682621112</v>
      </c>
      <c r="S366" s="12">
        <f t="shared" si="63"/>
        <v>0.52418518392277313</v>
      </c>
      <c r="T366" s="12">
        <f t="shared" si="64"/>
        <v>0</v>
      </c>
      <c r="U366" s="13">
        <f t="shared" si="65"/>
        <v>4.6876252538202499</v>
      </c>
      <c r="V366" s="13">
        <f t="shared" si="66"/>
        <v>22.50747666084774</v>
      </c>
      <c r="W366" s="12">
        <f t="shared" si="67"/>
        <v>0</v>
      </c>
      <c r="X366" s="12">
        <f t="shared" si="68"/>
        <v>1.0290935190331358</v>
      </c>
      <c r="Y366" s="13">
        <f t="shared" si="69"/>
        <v>3.8820022954151225</v>
      </c>
      <c r="Z366" s="13">
        <f t="shared" si="70"/>
        <v>35.455016054606439</v>
      </c>
      <c r="AA366" s="13">
        <f t="shared" si="71"/>
        <v>958055154.6391753</v>
      </c>
    </row>
    <row r="367" spans="1:27" x14ac:dyDescent="0.25">
      <c r="A367" s="10" t="s">
        <v>426</v>
      </c>
      <c r="B367" s="11">
        <v>2281529000</v>
      </c>
      <c r="C367" s="11">
        <v>5224174000</v>
      </c>
      <c r="D367" s="11">
        <v>4392169000</v>
      </c>
      <c r="E367" s="11">
        <v>1991965000</v>
      </c>
      <c r="F367" s="11">
        <v>2018253000</v>
      </c>
      <c r="G367" s="11">
        <v>2688276000</v>
      </c>
      <c r="H367" s="11">
        <v>6936909000</v>
      </c>
      <c r="I367" s="11">
        <v>10199183000</v>
      </c>
      <c r="J367" s="11">
        <v>0</v>
      </c>
      <c r="K367" s="11"/>
      <c r="L367" s="11">
        <v>309349121416.84998</v>
      </c>
      <c r="M367" s="11"/>
      <c r="N367" s="11">
        <v>0.89</v>
      </c>
      <c r="O367" s="11">
        <v>2570924000</v>
      </c>
      <c r="P367" s="12">
        <f t="shared" si="60"/>
        <v>0.32889706351921294</v>
      </c>
      <c r="Q367" s="12">
        <f t="shared" si="61"/>
        <v>0.22369723143510611</v>
      </c>
      <c r="R367" s="12">
        <f t="shared" si="62"/>
        <v>0.43672530815397803</v>
      </c>
      <c r="S367" s="12">
        <f t="shared" si="63"/>
        <v>0.38129759843374283</v>
      </c>
      <c r="T367" s="12">
        <f t="shared" si="64"/>
        <v>0.8407394164130062</v>
      </c>
      <c r="U367" s="13">
        <f t="shared" si="65"/>
        <v>0</v>
      </c>
      <c r="V367" s="13">
        <f t="shared" si="66"/>
        <v>153.27569012252178</v>
      </c>
      <c r="W367" s="12">
        <f t="shared" si="67"/>
        <v>0.38753225680198489</v>
      </c>
      <c r="X367" s="12">
        <f t="shared" si="68"/>
        <v>0</v>
      </c>
      <c r="Y367" s="13">
        <f t="shared" si="69"/>
        <v>0.88743541232646317</v>
      </c>
      <c r="Z367" s="13">
        <f t="shared" si="70"/>
        <v>135.58851165900148</v>
      </c>
      <c r="AA367" s="13">
        <f t="shared" si="71"/>
        <v>2563515730.3370786</v>
      </c>
    </row>
    <row r="368" spans="1:27" x14ac:dyDescent="0.25">
      <c r="A368" s="10" t="s">
        <v>427</v>
      </c>
      <c r="B368" s="11">
        <v>11096000000</v>
      </c>
      <c r="C368" s="11">
        <v>41493000000</v>
      </c>
      <c r="D368" s="11">
        <v>27926000000</v>
      </c>
      <c r="E368" s="11">
        <v>15241000000</v>
      </c>
      <c r="F368" s="11">
        <v>17267000000</v>
      </c>
      <c r="G368" s="11">
        <v>10666000000</v>
      </c>
      <c r="H368" s="11">
        <v>-10090000000</v>
      </c>
      <c r="I368" s="11">
        <v>68913000000</v>
      </c>
      <c r="J368" s="11"/>
      <c r="K368" s="11"/>
      <c r="L368" s="11">
        <v>282364103276.01001</v>
      </c>
      <c r="M368" s="11">
        <v>8815000000</v>
      </c>
      <c r="N368" s="11">
        <v>7.12</v>
      </c>
      <c r="O368" s="11">
        <v>1559000000</v>
      </c>
      <c r="P368" s="12">
        <f t="shared" si="60"/>
        <v>-1.0997026759167492</v>
      </c>
      <c r="Q368" s="12">
        <f t="shared" si="61"/>
        <v>0.16101461262751585</v>
      </c>
      <c r="R368" s="12">
        <f t="shared" si="62"/>
        <v>0.26741860072783363</v>
      </c>
      <c r="S368" s="12">
        <f t="shared" si="63"/>
        <v>0.36731496878991637</v>
      </c>
      <c r="T368" s="12">
        <f t="shared" si="64"/>
        <v>0.67302918564577152</v>
      </c>
      <c r="U368" s="13">
        <f t="shared" si="65"/>
        <v>0</v>
      </c>
      <c r="V368" s="13">
        <f t="shared" si="66"/>
        <v>16.352817702902069</v>
      </c>
      <c r="W368" s="12">
        <f t="shared" si="67"/>
        <v>-1.0570862239841428</v>
      </c>
      <c r="X368" s="12">
        <f t="shared" si="68"/>
        <v>0.79443042537851483</v>
      </c>
      <c r="Y368" s="13">
        <f t="shared" si="69"/>
        <v>7.1173829377806284</v>
      </c>
      <c r="Z368" s="13">
        <f t="shared" si="70"/>
        <v>25.447377728551732</v>
      </c>
      <c r="AA368" s="13">
        <f t="shared" si="71"/>
        <v>1558426966.2921348</v>
      </c>
    </row>
    <row r="369" spans="1:27" x14ac:dyDescent="0.25">
      <c r="A369" s="10" t="s">
        <v>428</v>
      </c>
      <c r="B369" s="11">
        <v>7270000000</v>
      </c>
      <c r="C369" s="11">
        <v>23812000000</v>
      </c>
      <c r="D369" s="11"/>
      <c r="E369" s="11"/>
      <c r="F369" s="11"/>
      <c r="G369" s="11"/>
      <c r="H369" s="11">
        <v>60016000000</v>
      </c>
      <c r="I369" s="11">
        <v>603028000000</v>
      </c>
      <c r="J369" s="11">
        <v>66666000000</v>
      </c>
      <c r="K369" s="11"/>
      <c r="L369" s="11">
        <v>100756583285.69</v>
      </c>
      <c r="M369" s="11">
        <v>2692000000</v>
      </c>
      <c r="N369" s="11">
        <v>17.95</v>
      </c>
      <c r="O369" s="11">
        <v>405000000</v>
      </c>
      <c r="P369" s="12">
        <f t="shared" si="60"/>
        <v>0.12113436416955478</v>
      </c>
      <c r="Q369" s="12">
        <f t="shared" si="61"/>
        <v>1.2055824936818855E-2</v>
      </c>
      <c r="R369" s="12">
        <f t="shared" si="62"/>
        <v>0.30530824794221401</v>
      </c>
      <c r="S369" s="12">
        <f t="shared" si="63"/>
        <v>0</v>
      </c>
      <c r="T369" s="12">
        <f t="shared" si="64"/>
        <v>0</v>
      </c>
      <c r="U369" s="13" t="str">
        <f t="shared" si="65"/>
        <v/>
      </c>
      <c r="V369" s="13" t="str">
        <f t="shared" si="66"/>
        <v/>
      </c>
      <c r="W369" s="12">
        <f t="shared" si="67"/>
        <v>0</v>
      </c>
      <c r="X369" s="12">
        <f t="shared" si="68"/>
        <v>0.3702888583218707</v>
      </c>
      <c r="Y369" s="13">
        <f t="shared" si="69"/>
        <v>17.950617283950617</v>
      </c>
      <c r="Z369" s="13">
        <f t="shared" si="70"/>
        <v>13.859227412061898</v>
      </c>
      <c r="AA369" s="13">
        <f t="shared" si="71"/>
        <v>405013927.57660168</v>
      </c>
    </row>
    <row r="370" spans="1:27" x14ac:dyDescent="0.25">
      <c r="A370" s="10" t="s">
        <v>429</v>
      </c>
      <c r="B370" s="11">
        <v>671300000</v>
      </c>
      <c r="C370" s="11"/>
      <c r="D370" s="11"/>
      <c r="E370" s="11"/>
      <c r="F370" s="11">
        <v>923800000</v>
      </c>
      <c r="G370" s="11">
        <v>715800000</v>
      </c>
      <c r="H370" s="11"/>
      <c r="I370" s="11">
        <v>7072000000</v>
      </c>
      <c r="J370" s="11">
        <v>1944300000</v>
      </c>
      <c r="K370" s="11"/>
      <c r="L370" s="11">
        <v>12050925143.049999</v>
      </c>
      <c r="M370" s="11">
        <v>167200000</v>
      </c>
      <c r="N370" s="11">
        <v>4.0999999999999996</v>
      </c>
      <c r="O370" s="11">
        <v>163700000</v>
      </c>
      <c r="P370" s="12" t="str">
        <f t="shared" si="60"/>
        <v/>
      </c>
      <c r="Q370" s="12">
        <f t="shared" si="61"/>
        <v>9.4923642533936647E-2</v>
      </c>
      <c r="R370" s="12" t="str">
        <f t="shared" si="62"/>
        <v/>
      </c>
      <c r="S370" s="12" t="str">
        <f t="shared" si="63"/>
        <v/>
      </c>
      <c r="T370" s="12" t="str">
        <f t="shared" si="64"/>
        <v/>
      </c>
      <c r="U370" s="13">
        <f t="shared" si="65"/>
        <v>2.1046763368694523</v>
      </c>
      <c r="V370" s="13">
        <f t="shared" si="66"/>
        <v>15.149626697391209</v>
      </c>
      <c r="W370" s="12">
        <f t="shared" si="67"/>
        <v>0.36815306279895077</v>
      </c>
      <c r="X370" s="12">
        <f t="shared" si="68"/>
        <v>0.249068970653955</v>
      </c>
      <c r="Y370" s="13">
        <f t="shared" si="69"/>
        <v>4.1007941356139277</v>
      </c>
      <c r="Z370" s="13">
        <f t="shared" si="70"/>
        <v>17.951623928273499</v>
      </c>
      <c r="AA370" s="13">
        <f t="shared" si="71"/>
        <v>163731707.3170732</v>
      </c>
    </row>
    <row r="371" spans="1:27" x14ac:dyDescent="0.25">
      <c r="A371" s="10" t="s">
        <v>430</v>
      </c>
      <c r="B371" s="11">
        <v>667095000</v>
      </c>
      <c r="C371" s="11">
        <v>5457256000</v>
      </c>
      <c r="D371" s="11"/>
      <c r="E371" s="11">
        <v>1141582000</v>
      </c>
      <c r="F371" s="11">
        <v>2120387000</v>
      </c>
      <c r="G371" s="11">
        <v>-991931000</v>
      </c>
      <c r="H371" s="11">
        <v>6903332500</v>
      </c>
      <c r="I371" s="11">
        <v>30690627000</v>
      </c>
      <c r="J371" s="11">
        <v>9801675000</v>
      </c>
      <c r="K371" s="11"/>
      <c r="L371" s="11">
        <v>12936729970.5</v>
      </c>
      <c r="M371" s="11">
        <v>426320000</v>
      </c>
      <c r="N371" s="11">
        <v>5.39</v>
      </c>
      <c r="O371" s="11">
        <v>123778000</v>
      </c>
      <c r="P371" s="12">
        <f t="shared" si="60"/>
        <v>9.6633763475828527E-2</v>
      </c>
      <c r="Q371" s="12">
        <f t="shared" si="61"/>
        <v>2.1736115068616876E-2</v>
      </c>
      <c r="R371" s="12">
        <f t="shared" si="62"/>
        <v>0.1222400048669148</v>
      </c>
      <c r="S371" s="12">
        <f t="shared" si="63"/>
        <v>0.20918608179641929</v>
      </c>
      <c r="T371" s="12">
        <f t="shared" si="64"/>
        <v>0</v>
      </c>
      <c r="U371" s="13">
        <f t="shared" si="65"/>
        <v>4.6225877634601611</v>
      </c>
      <c r="V371" s="13">
        <f t="shared" si="66"/>
        <v>10.723705139910781</v>
      </c>
      <c r="W371" s="12">
        <f t="shared" si="67"/>
        <v>-5.9379260979080674E-2</v>
      </c>
      <c r="X371" s="12">
        <f t="shared" si="68"/>
        <v>0.6390693979118417</v>
      </c>
      <c r="Y371" s="13">
        <f t="shared" si="69"/>
        <v>5.3894472361809047</v>
      </c>
      <c r="Z371" s="13">
        <f t="shared" si="70"/>
        <v>19.39263518764194</v>
      </c>
      <c r="AA371" s="13">
        <f t="shared" si="71"/>
        <v>123765306.12244898</v>
      </c>
    </row>
    <row r="372" spans="1:27" x14ac:dyDescent="0.25">
      <c r="A372" s="10" t="s">
        <v>431</v>
      </c>
      <c r="B372" s="11">
        <v>302800000</v>
      </c>
      <c r="C372" s="11">
        <v>2900800000</v>
      </c>
      <c r="D372" s="11">
        <v>2060000000</v>
      </c>
      <c r="E372" s="11">
        <v>507100000</v>
      </c>
      <c r="F372" s="11">
        <v>602000000</v>
      </c>
      <c r="G372" s="11">
        <v>415700000</v>
      </c>
      <c r="H372" s="11">
        <v>1316600000</v>
      </c>
      <c r="I372" s="11">
        <v>2987200000</v>
      </c>
      <c r="J372" s="11">
        <v>1397800000</v>
      </c>
      <c r="K372" s="11"/>
      <c r="L372" s="11">
        <v>10963904782.43</v>
      </c>
      <c r="M372" s="11"/>
      <c r="N372" s="11">
        <v>4.3099999999999996</v>
      </c>
      <c r="O372" s="11">
        <v>70202000</v>
      </c>
      <c r="P372" s="12">
        <f t="shared" si="60"/>
        <v>0.22998632842169223</v>
      </c>
      <c r="Q372" s="12">
        <f t="shared" si="61"/>
        <v>0.10136582753079808</v>
      </c>
      <c r="R372" s="12">
        <f t="shared" si="62"/>
        <v>0.10438499724214009</v>
      </c>
      <c r="S372" s="12">
        <f t="shared" si="63"/>
        <v>0.17481384445670159</v>
      </c>
      <c r="T372" s="12">
        <f t="shared" si="64"/>
        <v>0.71014892443463873</v>
      </c>
      <c r="U372" s="13">
        <f t="shared" si="65"/>
        <v>2.3219269102990032</v>
      </c>
      <c r="V372" s="13">
        <f t="shared" si="66"/>
        <v>20.534393326295682</v>
      </c>
      <c r="W372" s="12">
        <f t="shared" si="67"/>
        <v>0.15314618331859711</v>
      </c>
      <c r="X372" s="12">
        <f t="shared" si="68"/>
        <v>0</v>
      </c>
      <c r="Y372" s="13">
        <f t="shared" si="69"/>
        <v>4.3132674282783965</v>
      </c>
      <c r="Z372" s="13">
        <f t="shared" si="70"/>
        <v>36.208404169187581</v>
      </c>
      <c r="AA372" s="13">
        <f t="shared" si="71"/>
        <v>70255220.417633414</v>
      </c>
    </row>
    <row r="373" spans="1:27" x14ac:dyDescent="0.25">
      <c r="A373" s="10" t="s">
        <v>432</v>
      </c>
      <c r="B373" s="11">
        <v>1585000000</v>
      </c>
      <c r="C373" s="11">
        <v>16121000000</v>
      </c>
      <c r="D373" s="11"/>
      <c r="E373" s="11">
        <v>2747000000</v>
      </c>
      <c r="F373" s="11">
        <v>3286000000</v>
      </c>
      <c r="G373" s="11">
        <v>1227000000</v>
      </c>
      <c r="H373" s="11">
        <v>7515500000</v>
      </c>
      <c r="I373" s="11">
        <v>22150000000</v>
      </c>
      <c r="J373" s="11">
        <v>7096000000</v>
      </c>
      <c r="K373" s="11"/>
      <c r="L373" s="11">
        <v>25847483795.93</v>
      </c>
      <c r="M373" s="11"/>
      <c r="N373" s="11">
        <v>7.06</v>
      </c>
      <c r="O373" s="11">
        <v>224400000</v>
      </c>
      <c r="P373" s="12">
        <f t="shared" si="60"/>
        <v>0.21089747854434168</v>
      </c>
      <c r="Q373" s="12">
        <f t="shared" si="61"/>
        <v>7.1557562076749431E-2</v>
      </c>
      <c r="R373" s="12">
        <f t="shared" si="62"/>
        <v>9.8318962843496061E-2</v>
      </c>
      <c r="S373" s="12">
        <f t="shared" si="63"/>
        <v>0.17039885863159854</v>
      </c>
      <c r="T373" s="12">
        <f t="shared" si="64"/>
        <v>0</v>
      </c>
      <c r="U373" s="13">
        <f t="shared" si="65"/>
        <v>2.1594643944004868</v>
      </c>
      <c r="V373" s="13">
        <f t="shared" si="66"/>
        <v>10.025405902595862</v>
      </c>
      <c r="W373" s="12">
        <f t="shared" si="67"/>
        <v>8.3974951237039325E-2</v>
      </c>
      <c r="X373" s="12">
        <f t="shared" si="68"/>
        <v>0</v>
      </c>
      <c r="Y373" s="13">
        <f t="shared" si="69"/>
        <v>7.0632798573975046</v>
      </c>
      <c r="Z373" s="13">
        <f t="shared" si="70"/>
        <v>16.30756075452997</v>
      </c>
      <c r="AA373" s="13">
        <f t="shared" si="71"/>
        <v>224504249.2917847</v>
      </c>
    </row>
    <row r="374" spans="1:27" x14ac:dyDescent="0.25">
      <c r="A374" s="10" t="s">
        <v>433</v>
      </c>
      <c r="B374" s="11">
        <v>1219000000</v>
      </c>
      <c r="C374" s="11">
        <v>9312000000</v>
      </c>
      <c r="D374" s="11"/>
      <c r="E374" s="11">
        <v>2196000000</v>
      </c>
      <c r="F374" s="11">
        <v>3537000000</v>
      </c>
      <c r="G374" s="11">
        <v>-1622000000</v>
      </c>
      <c r="H374" s="11">
        <v>13924000000</v>
      </c>
      <c r="I374" s="11">
        <v>46304000000</v>
      </c>
      <c r="J374" s="11">
        <v>18894000000</v>
      </c>
      <c r="K374" s="11"/>
      <c r="L374" s="11">
        <v>26828813794.119999</v>
      </c>
      <c r="M374" s="11">
        <v>806000000</v>
      </c>
      <c r="N374" s="11">
        <v>1.61</v>
      </c>
      <c r="O374" s="11">
        <v>757158000</v>
      </c>
      <c r="P374" s="12">
        <f t="shared" si="60"/>
        <v>8.7546681987934499E-2</v>
      </c>
      <c r="Q374" s="12">
        <f t="shared" si="61"/>
        <v>2.6326019350380096E-2</v>
      </c>
      <c r="R374" s="12">
        <f t="shared" si="62"/>
        <v>0.13090635738831616</v>
      </c>
      <c r="S374" s="12">
        <f t="shared" si="63"/>
        <v>0.23582474226804123</v>
      </c>
      <c r="T374" s="12">
        <f t="shared" si="64"/>
        <v>0</v>
      </c>
      <c r="U374" s="13">
        <f t="shared" si="65"/>
        <v>5.3418150975402883</v>
      </c>
      <c r="V374" s="13">
        <f t="shared" si="66"/>
        <v>12.927004182674581</v>
      </c>
      <c r="W374" s="12">
        <f t="shared" si="67"/>
        <v>-4.9424096532390764E-2</v>
      </c>
      <c r="X374" s="12">
        <f t="shared" si="68"/>
        <v>0.66119770303527481</v>
      </c>
      <c r="Y374" s="13">
        <f t="shared" si="69"/>
        <v>1.609967800643987</v>
      </c>
      <c r="Z374" s="13">
        <f t="shared" si="70"/>
        <v>22.008871037013947</v>
      </c>
      <c r="AA374" s="13">
        <f t="shared" si="71"/>
        <v>757142857.14285707</v>
      </c>
    </row>
    <row r="375" spans="1:27" x14ac:dyDescent="0.25">
      <c r="A375" s="10" t="s">
        <v>434</v>
      </c>
      <c r="B375" s="11">
        <v>3466000000</v>
      </c>
      <c r="C375" s="11">
        <v>62830000000</v>
      </c>
      <c r="D375" s="11"/>
      <c r="E375" s="11"/>
      <c r="F375" s="11"/>
      <c r="G375" s="11"/>
      <c r="H375" s="11">
        <v>30929000000</v>
      </c>
      <c r="I375" s="11">
        <v>765396000000</v>
      </c>
      <c r="J375" s="11">
        <v>18882000000</v>
      </c>
      <c r="K375" s="11"/>
      <c r="L375" s="11">
        <v>39942387305</v>
      </c>
      <c r="M375" s="11">
        <v>1937000000</v>
      </c>
      <c r="N375" s="11">
        <v>9.92</v>
      </c>
      <c r="O375" s="11">
        <v>349400000</v>
      </c>
      <c r="P375" s="12">
        <f t="shared" si="60"/>
        <v>0.11206311228943709</v>
      </c>
      <c r="Q375" s="12">
        <f t="shared" si="61"/>
        <v>4.5283748543237749E-3</v>
      </c>
      <c r="R375" s="12">
        <f t="shared" si="62"/>
        <v>5.5164730224415086E-2</v>
      </c>
      <c r="S375" s="12">
        <f t="shared" si="63"/>
        <v>0</v>
      </c>
      <c r="T375" s="12">
        <f t="shared" si="64"/>
        <v>0</v>
      </c>
      <c r="U375" s="13" t="str">
        <f t="shared" si="65"/>
        <v/>
      </c>
      <c r="V375" s="13" t="str">
        <f t="shared" si="66"/>
        <v/>
      </c>
      <c r="W375" s="12">
        <f t="shared" si="67"/>
        <v>0</v>
      </c>
      <c r="X375" s="12">
        <f t="shared" si="68"/>
        <v>0.55885747259088281</v>
      </c>
      <c r="Y375" s="13">
        <f t="shared" si="69"/>
        <v>9.9198626216370922</v>
      </c>
      <c r="Z375" s="13">
        <f t="shared" si="70"/>
        <v>11.52405865695326</v>
      </c>
      <c r="AA375" s="13">
        <f t="shared" si="71"/>
        <v>349395161.2903226</v>
      </c>
    </row>
    <row r="376" spans="1:27" x14ac:dyDescent="0.25">
      <c r="A376" s="10" t="s">
        <v>435</v>
      </c>
      <c r="B376" s="11">
        <v>1902830000</v>
      </c>
      <c r="C376" s="11">
        <v>4858670000</v>
      </c>
      <c r="D376" s="11"/>
      <c r="E376" s="11"/>
      <c r="F376" s="11"/>
      <c r="G376" s="11"/>
      <c r="H376" s="11">
        <v>9395298000</v>
      </c>
      <c r="I376" s="11">
        <v>19850409000</v>
      </c>
      <c r="J376" s="11">
        <v>9707266000</v>
      </c>
      <c r="K376" s="11"/>
      <c r="L376" s="11">
        <v>56071364215.25</v>
      </c>
      <c r="M376" s="11"/>
      <c r="N376" s="11">
        <v>10.82</v>
      </c>
      <c r="O376" s="11">
        <v>175928000</v>
      </c>
      <c r="P376" s="12">
        <f t="shared" si="60"/>
        <v>0.20253003151150714</v>
      </c>
      <c r="Q376" s="12">
        <f t="shared" si="61"/>
        <v>9.5858478281228357E-2</v>
      </c>
      <c r="R376" s="12">
        <f t="shared" si="62"/>
        <v>0.39163598268661998</v>
      </c>
      <c r="S376" s="12">
        <f t="shared" si="63"/>
        <v>0</v>
      </c>
      <c r="T376" s="12">
        <f t="shared" si="64"/>
        <v>0</v>
      </c>
      <c r="U376" s="13" t="str">
        <f t="shared" si="65"/>
        <v/>
      </c>
      <c r="V376" s="13" t="str">
        <f t="shared" si="66"/>
        <v/>
      </c>
      <c r="W376" s="12">
        <f t="shared" si="67"/>
        <v>0</v>
      </c>
      <c r="X376" s="12">
        <f t="shared" si="68"/>
        <v>0</v>
      </c>
      <c r="Y376" s="13">
        <f t="shared" si="69"/>
        <v>10.815958801327817</v>
      </c>
      <c r="Z376" s="13">
        <f t="shared" si="70"/>
        <v>29.467353476269558</v>
      </c>
      <c r="AA376" s="13">
        <f t="shared" si="71"/>
        <v>175862292.05175599</v>
      </c>
    </row>
    <row r="377" spans="1:27" x14ac:dyDescent="0.25">
      <c r="A377" s="10" t="s">
        <v>436</v>
      </c>
      <c r="B377" s="11">
        <v>-6190000000</v>
      </c>
      <c r="C377" s="11">
        <v>29213000000</v>
      </c>
      <c r="D377" s="11"/>
      <c r="E377" s="11">
        <v>-5269000000</v>
      </c>
      <c r="F377" s="11">
        <v>-4877000000</v>
      </c>
      <c r="G377" s="11">
        <v>489000000</v>
      </c>
      <c r="H377" s="11">
        <v>5852500000</v>
      </c>
      <c r="I377" s="11">
        <v>44488000000</v>
      </c>
      <c r="J377" s="11"/>
      <c r="K377" s="11"/>
      <c r="L377" s="11">
        <v>10441884545.75</v>
      </c>
      <c r="M377" s="11"/>
      <c r="N377" s="11">
        <v>-5.54</v>
      </c>
      <c r="O377" s="11">
        <v>1118000000</v>
      </c>
      <c r="P377" s="12">
        <f t="shared" si="60"/>
        <v>-1.057667663391713</v>
      </c>
      <c r="Q377" s="12">
        <f t="shared" si="61"/>
        <v>-0.13913864412875382</v>
      </c>
      <c r="R377" s="12">
        <f t="shared" si="62"/>
        <v>-0.21189196590558998</v>
      </c>
      <c r="S377" s="12">
        <f t="shared" si="63"/>
        <v>-0.18036490603498442</v>
      </c>
      <c r="T377" s="12">
        <f t="shared" si="64"/>
        <v>0</v>
      </c>
      <c r="U377" s="13">
        <f t="shared" si="65"/>
        <v>0</v>
      </c>
      <c r="V377" s="13">
        <f t="shared" si="66"/>
        <v>-2.1410466569099857</v>
      </c>
      <c r="W377" s="12">
        <f t="shared" si="67"/>
        <v>8.3554036736437423E-2</v>
      </c>
      <c r="X377" s="12">
        <f t="shared" si="68"/>
        <v>0</v>
      </c>
      <c r="Y377" s="13">
        <f t="shared" si="69"/>
        <v>-5.5366726296958859</v>
      </c>
      <c r="Z377" s="13">
        <f t="shared" si="70"/>
        <v>-1.6868957262924071</v>
      </c>
      <c r="AA377" s="13">
        <f t="shared" si="71"/>
        <v>1117328519.8555956</v>
      </c>
    </row>
    <row r="378" spans="1:27" x14ac:dyDescent="0.25">
      <c r="A378" s="10" t="s">
        <v>437</v>
      </c>
      <c r="B378" s="11">
        <v>4123000000</v>
      </c>
      <c r="C378" s="11">
        <v>134486000000</v>
      </c>
      <c r="D378" s="11"/>
      <c r="E378" s="11"/>
      <c r="F378" s="11"/>
      <c r="G378" s="11"/>
      <c r="H378" s="11">
        <v>27900500000</v>
      </c>
      <c r="I378" s="11">
        <v>84084000000</v>
      </c>
      <c r="J378" s="11"/>
      <c r="K378" s="11"/>
      <c r="L378" s="11">
        <v>76105488432.940002</v>
      </c>
      <c r="M378" s="11">
        <v>1962000000</v>
      </c>
      <c r="N378" s="11">
        <v>10.220000000000001</v>
      </c>
      <c r="O378" s="11">
        <v>403273000</v>
      </c>
      <c r="P378" s="12">
        <f t="shared" si="60"/>
        <v>0.14777512947796634</v>
      </c>
      <c r="Q378" s="12">
        <f t="shared" si="61"/>
        <v>4.9034299034299032E-2</v>
      </c>
      <c r="R378" s="12">
        <f t="shared" si="62"/>
        <v>3.065746620466071E-2</v>
      </c>
      <c r="S378" s="12">
        <f t="shared" si="63"/>
        <v>0</v>
      </c>
      <c r="T378" s="12">
        <f t="shared" si="64"/>
        <v>0</v>
      </c>
      <c r="U378" s="13" t="str">
        <f t="shared" si="65"/>
        <v/>
      </c>
      <c r="V378" s="13" t="str">
        <f t="shared" si="66"/>
        <v/>
      </c>
      <c r="W378" s="12">
        <f t="shared" si="67"/>
        <v>0</v>
      </c>
      <c r="X378" s="12">
        <f t="shared" si="68"/>
        <v>0.47586708707252001</v>
      </c>
      <c r="Y378" s="13">
        <f t="shared" si="69"/>
        <v>10.223843401368304</v>
      </c>
      <c r="Z378" s="13">
        <f t="shared" si="70"/>
        <v>18.458765081964589</v>
      </c>
      <c r="AA378" s="13">
        <f t="shared" si="71"/>
        <v>403424657.53424656</v>
      </c>
    </row>
    <row r="379" spans="1:27" x14ac:dyDescent="0.25">
      <c r="A379" s="10" t="s">
        <v>438</v>
      </c>
      <c r="B379" s="11">
        <v>1246362000</v>
      </c>
      <c r="C379" s="11">
        <v>2997860000</v>
      </c>
      <c r="D379" s="11">
        <v>2539572000</v>
      </c>
      <c r="E379" s="11">
        <v>1160330000</v>
      </c>
      <c r="F379" s="11">
        <v>1261561000</v>
      </c>
      <c r="G379" s="11">
        <v>928176000</v>
      </c>
      <c r="H379" s="11">
        <v>3623168000</v>
      </c>
      <c r="I379" s="11">
        <v>6537260000</v>
      </c>
      <c r="J379" s="11">
        <v>1172972000</v>
      </c>
      <c r="K379" s="11"/>
      <c r="L379" s="11">
        <v>14298461973.639999</v>
      </c>
      <c r="M379" s="11"/>
      <c r="N379" s="11">
        <v>10.45</v>
      </c>
      <c r="O379" s="11">
        <v>119277000</v>
      </c>
      <c r="P379" s="12">
        <f t="shared" si="60"/>
        <v>0.34399784939588779</v>
      </c>
      <c r="Q379" s="12">
        <f t="shared" si="61"/>
        <v>0.19065510626776355</v>
      </c>
      <c r="R379" s="12">
        <f t="shared" si="62"/>
        <v>0.41575056873903382</v>
      </c>
      <c r="S379" s="12">
        <f t="shared" si="63"/>
        <v>0.38705276430520436</v>
      </c>
      <c r="T379" s="12">
        <f t="shared" si="64"/>
        <v>0.84712828484318814</v>
      </c>
      <c r="U379" s="13">
        <f t="shared" si="65"/>
        <v>0.92977826676633157</v>
      </c>
      <c r="V379" s="13">
        <f t="shared" si="66"/>
        <v>12.263722462599906</v>
      </c>
      <c r="W379" s="12">
        <f t="shared" si="67"/>
        <v>0.19352562685826519</v>
      </c>
      <c r="X379" s="12">
        <f t="shared" si="68"/>
        <v>0</v>
      </c>
      <c r="Y379" s="13">
        <f t="shared" si="69"/>
        <v>10.449307075127644</v>
      </c>
      <c r="Z379" s="13">
        <f t="shared" si="70"/>
        <v>11.472158147985898</v>
      </c>
      <c r="AA379" s="13">
        <f t="shared" si="71"/>
        <v>119269090.90909092</v>
      </c>
    </row>
    <row r="380" spans="1:27" x14ac:dyDescent="0.25">
      <c r="A380" s="10" t="s">
        <v>439</v>
      </c>
      <c r="B380" s="11">
        <v>1104745000</v>
      </c>
      <c r="C380" s="11">
        <v>30121150000</v>
      </c>
      <c r="D380" s="11">
        <v>4548373000</v>
      </c>
      <c r="E380" s="11">
        <v>1711207000</v>
      </c>
      <c r="F380" s="11">
        <v>2137925000</v>
      </c>
      <c r="G380" s="11">
        <v>1682031000</v>
      </c>
      <c r="H380" s="11">
        <v>8250614500</v>
      </c>
      <c r="I380" s="11">
        <v>25746618000</v>
      </c>
      <c r="J380" s="11"/>
      <c r="K380" s="11"/>
      <c r="L380" s="11">
        <v>100265687192.83</v>
      </c>
      <c r="M380" s="11">
        <v>62113000</v>
      </c>
      <c r="N380" s="11">
        <v>7.26</v>
      </c>
      <c r="O380" s="11">
        <v>152086000</v>
      </c>
      <c r="P380" s="12">
        <f t="shared" si="60"/>
        <v>0.13389851143814804</v>
      </c>
      <c r="Q380" s="12">
        <f t="shared" si="61"/>
        <v>4.2908354021487405E-2</v>
      </c>
      <c r="R380" s="12">
        <f t="shared" si="62"/>
        <v>3.6676720510339079E-2</v>
      </c>
      <c r="S380" s="12">
        <f t="shared" si="63"/>
        <v>5.6810812336182383E-2</v>
      </c>
      <c r="T380" s="12">
        <f t="shared" si="64"/>
        <v>0.15100263436156985</v>
      </c>
      <c r="U380" s="13">
        <f t="shared" si="65"/>
        <v>0</v>
      </c>
      <c r="V380" s="13">
        <f t="shared" si="66"/>
        <v>46.898598965272406</v>
      </c>
      <c r="W380" s="12">
        <f t="shared" si="67"/>
        <v>0.20386736042509318</v>
      </c>
      <c r="X380" s="12">
        <f t="shared" si="68"/>
        <v>5.622383445953591E-2</v>
      </c>
      <c r="Y380" s="13">
        <f t="shared" si="69"/>
        <v>7.2639493444498511</v>
      </c>
      <c r="Z380" s="13">
        <f t="shared" si="70"/>
        <v>90.759122868019318</v>
      </c>
      <c r="AA380" s="13">
        <f t="shared" si="71"/>
        <v>152168732.78236914</v>
      </c>
    </row>
    <row r="381" spans="1:27" x14ac:dyDescent="0.25">
      <c r="A381" s="10" t="s">
        <v>440</v>
      </c>
      <c r="B381" s="11">
        <v>5059000000</v>
      </c>
      <c r="C381" s="11">
        <v>33734000000</v>
      </c>
      <c r="D381" s="11"/>
      <c r="E381" s="11">
        <v>6023000000</v>
      </c>
      <c r="F381" s="11">
        <v>6979000000</v>
      </c>
      <c r="G381" s="11">
        <v>5503000000</v>
      </c>
      <c r="H381" s="11">
        <v>20139000000</v>
      </c>
      <c r="I381" s="11">
        <v>80546000000</v>
      </c>
      <c r="J381" s="11">
        <v>10876000000</v>
      </c>
      <c r="K381" s="11"/>
      <c r="L381" s="11">
        <v>39977020673.559998</v>
      </c>
      <c r="M381" s="11">
        <v>260000000</v>
      </c>
      <c r="N381" s="11">
        <v>5.5</v>
      </c>
      <c r="O381" s="11">
        <v>920000000</v>
      </c>
      <c r="P381" s="12">
        <f t="shared" si="60"/>
        <v>0.25120413128755154</v>
      </c>
      <c r="Q381" s="12">
        <f t="shared" si="61"/>
        <v>6.2808829737044672E-2</v>
      </c>
      <c r="R381" s="12">
        <f t="shared" si="62"/>
        <v>0.1499673919487757</v>
      </c>
      <c r="S381" s="12">
        <f t="shared" si="63"/>
        <v>0.17854390229442105</v>
      </c>
      <c r="T381" s="12">
        <f t="shared" si="64"/>
        <v>0</v>
      </c>
      <c r="U381" s="13">
        <f t="shared" si="65"/>
        <v>1.5583894540765153</v>
      </c>
      <c r="V381" s="13">
        <f t="shared" si="66"/>
        <v>7.2865769699899694</v>
      </c>
      <c r="W381" s="12">
        <f t="shared" si="67"/>
        <v>0.17743027567306141</v>
      </c>
      <c r="X381" s="12">
        <f t="shared" si="68"/>
        <v>5.1393556038742835E-2</v>
      </c>
      <c r="Y381" s="13">
        <f t="shared" si="69"/>
        <v>5.4989130434782609</v>
      </c>
      <c r="Z381" s="13">
        <f t="shared" si="70"/>
        <v>7.9021586624945632</v>
      </c>
      <c r="AA381" s="13">
        <f t="shared" si="71"/>
        <v>919818181.81818187</v>
      </c>
    </row>
    <row r="382" spans="1:27" x14ac:dyDescent="0.25">
      <c r="A382" s="10" t="s">
        <v>441</v>
      </c>
      <c r="B382" s="11"/>
      <c r="C382" s="11">
        <v>4951000000</v>
      </c>
      <c r="D382" s="11"/>
      <c r="E382" s="11"/>
      <c r="F382" s="11"/>
      <c r="G382" s="11">
        <v>898000000</v>
      </c>
      <c r="H382" s="11">
        <v>7186000000</v>
      </c>
      <c r="I382" s="11">
        <v>14063000000</v>
      </c>
      <c r="J382" s="11">
        <v>4100000000</v>
      </c>
      <c r="K382" s="11"/>
      <c r="L382" s="11">
        <v>30031804041.700001</v>
      </c>
      <c r="M382" s="11"/>
      <c r="N382" s="11"/>
      <c r="O382" s="11"/>
      <c r="P382" s="12">
        <f t="shared" si="60"/>
        <v>0</v>
      </c>
      <c r="Q382" s="12">
        <f t="shared" si="61"/>
        <v>0</v>
      </c>
      <c r="R382" s="12">
        <f t="shared" si="62"/>
        <v>0</v>
      </c>
      <c r="S382" s="12">
        <f t="shared" si="63"/>
        <v>0</v>
      </c>
      <c r="T382" s="12">
        <f t="shared" si="64"/>
        <v>0</v>
      </c>
      <c r="U382" s="13" t="str">
        <f t="shared" si="65"/>
        <v/>
      </c>
      <c r="V382" s="13" t="str">
        <f t="shared" si="66"/>
        <v/>
      </c>
      <c r="W382" s="12">
        <f t="shared" si="67"/>
        <v>7.9567605883395356E-2</v>
      </c>
      <c r="X382" s="12" t="str">
        <f t="shared" si="68"/>
        <v/>
      </c>
      <c r="Y382" s="13" t="str">
        <f t="shared" si="69"/>
        <v/>
      </c>
      <c r="Z382" s="13" t="str">
        <f t="shared" si="70"/>
        <v/>
      </c>
      <c r="AA382" s="13" t="str">
        <f t="shared" si="71"/>
        <v/>
      </c>
    </row>
    <row r="383" spans="1:27" x14ac:dyDescent="0.25">
      <c r="A383" s="10" t="s">
        <v>442</v>
      </c>
      <c r="B383" s="11">
        <v>9924000000</v>
      </c>
      <c r="C383" s="11">
        <v>44486000000</v>
      </c>
      <c r="D383" s="11"/>
      <c r="E383" s="11">
        <v>11356000000</v>
      </c>
      <c r="F383" s="11">
        <v>12931000000</v>
      </c>
      <c r="G383" s="11">
        <v>12502000000</v>
      </c>
      <c r="H383" s="11"/>
      <c r="I383" s="11">
        <v>57136000000</v>
      </c>
      <c r="J383" s="11">
        <v>14772000000</v>
      </c>
      <c r="K383" s="11"/>
      <c r="L383" s="11">
        <v>201429940643.31</v>
      </c>
      <c r="M383" s="11"/>
      <c r="N383" s="11">
        <v>9.23</v>
      </c>
      <c r="O383" s="11">
        <v>1075000000</v>
      </c>
      <c r="P383" s="12" t="str">
        <f t="shared" si="60"/>
        <v/>
      </c>
      <c r="Q383" s="12">
        <f t="shared" si="61"/>
        <v>0.17369084290114814</v>
      </c>
      <c r="R383" s="12">
        <f t="shared" si="62"/>
        <v>0.22308141887335342</v>
      </c>
      <c r="S383" s="12">
        <f t="shared" si="63"/>
        <v>0.25527132131457086</v>
      </c>
      <c r="T383" s="12">
        <f t="shared" si="64"/>
        <v>0</v>
      </c>
      <c r="U383" s="13">
        <f t="shared" si="65"/>
        <v>1.1423710463227903</v>
      </c>
      <c r="V383" s="13">
        <f t="shared" si="66"/>
        <v>16.719661328846183</v>
      </c>
      <c r="W383" s="12">
        <f t="shared" si="67"/>
        <v>0.84633089629027891</v>
      </c>
      <c r="X383" s="12">
        <f t="shared" si="68"/>
        <v>0</v>
      </c>
      <c r="Y383" s="13">
        <f t="shared" si="69"/>
        <v>9.231627906976744</v>
      </c>
      <c r="Z383" s="13">
        <f t="shared" si="70"/>
        <v>20.297253188564088</v>
      </c>
      <c r="AA383" s="13">
        <f t="shared" si="71"/>
        <v>1075189599.133261</v>
      </c>
    </row>
    <row r="384" spans="1:27" x14ac:dyDescent="0.25">
      <c r="A384" s="10" t="s">
        <v>443</v>
      </c>
      <c r="B384" s="11">
        <v>4479000000</v>
      </c>
      <c r="C384" s="11">
        <v>18388000000</v>
      </c>
      <c r="D384" s="11"/>
      <c r="E384" s="11">
        <v>5127000000</v>
      </c>
      <c r="F384" s="11">
        <v>6894000000</v>
      </c>
      <c r="G384" s="11">
        <v>1371000000</v>
      </c>
      <c r="H384" s="11">
        <v>8885000000</v>
      </c>
      <c r="I384" s="11">
        <v>41990000000</v>
      </c>
      <c r="J384" s="11">
        <v>6200000000</v>
      </c>
      <c r="K384" s="11"/>
      <c r="L384" s="11">
        <v>77261605660.990005</v>
      </c>
      <c r="M384" s="11">
        <v>946000000</v>
      </c>
      <c r="N384" s="11">
        <v>16.53</v>
      </c>
      <c r="O384" s="11">
        <v>271000000</v>
      </c>
      <c r="P384" s="12">
        <f t="shared" si="60"/>
        <v>0.50410804727068093</v>
      </c>
      <c r="Q384" s="12">
        <f t="shared" si="61"/>
        <v>0.10666825434627292</v>
      </c>
      <c r="R384" s="12">
        <f t="shared" si="62"/>
        <v>0.24358277137263432</v>
      </c>
      <c r="S384" s="12">
        <f t="shared" si="63"/>
        <v>0.27882314552969328</v>
      </c>
      <c r="T384" s="12">
        <f t="shared" si="64"/>
        <v>0</v>
      </c>
      <c r="U384" s="13">
        <f t="shared" si="65"/>
        <v>0.8993327531186539</v>
      </c>
      <c r="V384" s="13">
        <f t="shared" si="66"/>
        <v>12.106412193355093</v>
      </c>
      <c r="W384" s="12">
        <f t="shared" si="67"/>
        <v>9.0884985084521044E-2</v>
      </c>
      <c r="X384" s="12">
        <f t="shared" si="68"/>
        <v>0.21120785889707525</v>
      </c>
      <c r="Y384" s="13">
        <f t="shared" si="69"/>
        <v>16.527675276752767</v>
      </c>
      <c r="Z384" s="13">
        <f t="shared" si="70"/>
        <v>17.249744510156287</v>
      </c>
      <c r="AA384" s="13">
        <f t="shared" si="71"/>
        <v>270961887.47731394</v>
      </c>
    </row>
    <row r="385" spans="1:27" x14ac:dyDescent="0.25">
      <c r="A385" s="10" t="s">
        <v>444</v>
      </c>
      <c r="B385" s="11">
        <v>546422000</v>
      </c>
      <c r="C385" s="11">
        <v>1585065000</v>
      </c>
      <c r="D385" s="11"/>
      <c r="E385" s="11">
        <v>1146297000</v>
      </c>
      <c r="F385" s="11">
        <v>1560989000</v>
      </c>
      <c r="G385" s="11"/>
      <c r="H385" s="11">
        <v>6796206500</v>
      </c>
      <c r="I385" s="11">
        <v>13046484000</v>
      </c>
      <c r="J385" s="11">
        <v>5003934000</v>
      </c>
      <c r="K385" s="11"/>
      <c r="L385" s="11">
        <v>14545209444.610001</v>
      </c>
      <c r="M385" s="11">
        <v>659795000</v>
      </c>
      <c r="N385" s="11">
        <v>3.22</v>
      </c>
      <c r="O385" s="11">
        <v>169460000</v>
      </c>
      <c r="P385" s="12">
        <f t="shared" si="60"/>
        <v>8.0401029603794416E-2</v>
      </c>
      <c r="Q385" s="12">
        <f t="shared" si="61"/>
        <v>4.18827018835113E-2</v>
      </c>
      <c r="R385" s="12">
        <f t="shared" si="62"/>
        <v>0.34473160406671022</v>
      </c>
      <c r="S385" s="12">
        <f t="shared" si="63"/>
        <v>0.72318611539589861</v>
      </c>
      <c r="T385" s="12">
        <f t="shared" si="64"/>
        <v>0</v>
      </c>
      <c r="U385" s="13">
        <f t="shared" si="65"/>
        <v>3.205617720560491</v>
      </c>
      <c r="V385" s="13">
        <f t="shared" si="66"/>
        <v>12.523562590517935</v>
      </c>
      <c r="W385" s="12">
        <f t="shared" si="67"/>
        <v>0</v>
      </c>
      <c r="X385" s="12">
        <f t="shared" si="68"/>
        <v>1.2074824952143215</v>
      </c>
      <c r="Y385" s="13">
        <f t="shared" si="69"/>
        <v>3.2244895550572408</v>
      </c>
      <c r="Z385" s="13">
        <f t="shared" si="70"/>
        <v>26.619004074890835</v>
      </c>
      <c r="AA385" s="13">
        <f t="shared" si="71"/>
        <v>169696273.29192546</v>
      </c>
    </row>
    <row r="386" spans="1:27" x14ac:dyDescent="0.25">
      <c r="A386" s="10" t="s">
        <v>445</v>
      </c>
      <c r="B386" s="11">
        <v>4423400000</v>
      </c>
      <c r="C386" s="11">
        <v>14919600000</v>
      </c>
      <c r="D386" s="11"/>
      <c r="E386" s="11">
        <v>3629100000</v>
      </c>
      <c r="F386" s="11">
        <v>4169100000</v>
      </c>
      <c r="G386" s="11">
        <v>4113000000</v>
      </c>
      <c r="H386" s="11">
        <v>30405600000</v>
      </c>
      <c r="I386" s="11">
        <v>40868800000</v>
      </c>
      <c r="J386" s="11">
        <v>1986200000</v>
      </c>
      <c r="K386" s="11"/>
      <c r="L386" s="11">
        <v>70027232704.169998</v>
      </c>
      <c r="M386" s="11">
        <v>374300000</v>
      </c>
      <c r="N386" s="11">
        <v>41.07</v>
      </c>
      <c r="O386" s="11">
        <v>107700000</v>
      </c>
      <c r="P386" s="12">
        <f t="shared" si="60"/>
        <v>0.14547978004051884</v>
      </c>
      <c r="Q386" s="12">
        <f t="shared" si="61"/>
        <v>0.10823415417139726</v>
      </c>
      <c r="R386" s="12">
        <f t="shared" si="62"/>
        <v>0.29648247942304085</v>
      </c>
      <c r="S386" s="12">
        <f t="shared" si="63"/>
        <v>0.24324378669669428</v>
      </c>
      <c r="T386" s="12">
        <f t="shared" si="64"/>
        <v>0</v>
      </c>
      <c r="U386" s="13">
        <f t="shared" si="65"/>
        <v>0.47640977669041279</v>
      </c>
      <c r="V386" s="13">
        <f t="shared" si="66"/>
        <v>17.273136337379771</v>
      </c>
      <c r="W386" s="12">
        <f t="shared" si="67"/>
        <v>0.1269765804925938</v>
      </c>
      <c r="X386" s="12">
        <f t="shared" si="68"/>
        <v>8.4618167020843696E-2</v>
      </c>
      <c r="Y386" s="13">
        <f t="shared" si="69"/>
        <v>41.07149489322191</v>
      </c>
      <c r="Z386" s="13">
        <f t="shared" si="70"/>
        <v>15.8310875580255</v>
      </c>
      <c r="AA386" s="13">
        <f t="shared" si="71"/>
        <v>107703920.13635257</v>
      </c>
    </row>
    <row r="387" spans="1:27" x14ac:dyDescent="0.25">
      <c r="A387" s="10" t="s">
        <v>446</v>
      </c>
      <c r="B387" s="11">
        <v>2225000000</v>
      </c>
      <c r="C387" s="11"/>
      <c r="D387" s="11"/>
      <c r="E387" s="11"/>
      <c r="F387" s="11"/>
      <c r="G387" s="11"/>
      <c r="H387" s="11">
        <v>18654500000</v>
      </c>
      <c r="I387" s="11">
        <v>160741000000</v>
      </c>
      <c r="J387" s="11">
        <v>3137000000</v>
      </c>
      <c r="K387" s="11"/>
      <c r="L387" s="11">
        <v>26096346206.93</v>
      </c>
      <c r="M387" s="11">
        <v>915000000</v>
      </c>
      <c r="N387" s="11">
        <v>2.56</v>
      </c>
      <c r="O387" s="11">
        <v>868000000</v>
      </c>
      <c r="P387" s="12">
        <f t="shared" ref="P387:P450" si="72">IFERROR(B387/H387,"")</f>
        <v>0.11927416977136884</v>
      </c>
      <c r="Q387" s="12">
        <f t="shared" ref="Q387:Q450" si="73">IFERROR(B387/I387,"")</f>
        <v>1.3842143572579492E-2</v>
      </c>
      <c r="R387" s="12" t="str">
        <f t="shared" ref="R387:R450" si="74">IFERROR(B387/C387,"")</f>
        <v/>
      </c>
      <c r="S387" s="12" t="str">
        <f t="shared" ref="S387:S450" si="75">IFERROR(E387/C387,"")</f>
        <v/>
      </c>
      <c r="T387" s="12" t="str">
        <f t="shared" ref="T387:T450" si="76">IFERROR(D387/C387,"")</f>
        <v/>
      </c>
      <c r="U387" s="13" t="str">
        <f t="shared" ref="U387:U450" si="77">IFERROR(J387/F387,"")</f>
        <v/>
      </c>
      <c r="V387" s="13" t="str">
        <f t="shared" ref="V387:V450" si="78">IFERROR((L387+J387-K387)/F387,"")</f>
        <v/>
      </c>
      <c r="W387" s="12">
        <f t="shared" ref="W387:W450" si="79">IFERROR(G387/(J387+H387),"")</f>
        <v>0</v>
      </c>
      <c r="X387" s="12">
        <f t="shared" ref="X387:X450" si="80">IFERROR(M387/B387,"")</f>
        <v>0.41123595505617977</v>
      </c>
      <c r="Y387" s="13">
        <f t="shared" ref="Y387:Y450" si="81">IFERROR(B387/O387,"")</f>
        <v>2.5633640552995391</v>
      </c>
      <c r="Z387" s="13">
        <f t="shared" ref="Z387:Z450" si="82">IFERROR(L387/B387,"")</f>
        <v>11.728694924462921</v>
      </c>
      <c r="AA387" s="13">
        <f t="shared" ref="AA387:AA450" si="83">IFERROR(B387/N387,"")</f>
        <v>869140625</v>
      </c>
    </row>
    <row r="388" spans="1:27" x14ac:dyDescent="0.25">
      <c r="A388" s="10" t="s">
        <v>447</v>
      </c>
      <c r="B388" s="11">
        <v>2147000000</v>
      </c>
      <c r="C388" s="11">
        <v>16470000000</v>
      </c>
      <c r="D388" s="11"/>
      <c r="E388" s="11"/>
      <c r="F388" s="11"/>
      <c r="G388" s="11">
        <v>2384000000</v>
      </c>
      <c r="H388" s="11">
        <v>12389500000</v>
      </c>
      <c r="I388" s="11">
        <v>91944000000</v>
      </c>
      <c r="J388" s="11">
        <v>0</v>
      </c>
      <c r="K388" s="11"/>
      <c r="L388" s="11">
        <v>32880665734.369999</v>
      </c>
      <c r="M388" s="11">
        <v>255000000</v>
      </c>
      <c r="N388" s="11">
        <v>10.72</v>
      </c>
      <c r="O388" s="11">
        <v>200300000</v>
      </c>
      <c r="P388" s="12">
        <f t="shared" si="72"/>
        <v>0.17329190039953185</v>
      </c>
      <c r="Q388" s="12">
        <f t="shared" si="73"/>
        <v>2.3351170277560254E-2</v>
      </c>
      <c r="R388" s="12">
        <f t="shared" si="74"/>
        <v>0.13035822707953856</v>
      </c>
      <c r="S388" s="12">
        <f t="shared" si="75"/>
        <v>0</v>
      </c>
      <c r="T388" s="12">
        <f t="shared" si="76"/>
        <v>0</v>
      </c>
      <c r="U388" s="13" t="str">
        <f t="shared" si="77"/>
        <v/>
      </c>
      <c r="V388" s="13" t="str">
        <f t="shared" si="78"/>
        <v/>
      </c>
      <c r="W388" s="12">
        <f t="shared" si="79"/>
        <v>0.19242100165462689</v>
      </c>
      <c r="X388" s="12">
        <f t="shared" si="80"/>
        <v>0.11877037727061016</v>
      </c>
      <c r="Y388" s="13">
        <f t="shared" si="81"/>
        <v>10.71892161757364</v>
      </c>
      <c r="Z388" s="13">
        <f t="shared" si="82"/>
        <v>15.314702251686073</v>
      </c>
      <c r="AA388" s="13">
        <f t="shared" si="83"/>
        <v>200279850.74626863</v>
      </c>
    </row>
    <row r="389" spans="1:27" x14ac:dyDescent="0.25">
      <c r="A389" s="10" t="s">
        <v>448</v>
      </c>
      <c r="B389" s="11">
        <v>941100000</v>
      </c>
      <c r="C389" s="11">
        <v>8114500000</v>
      </c>
      <c r="D389" s="11">
        <v>5669200000</v>
      </c>
      <c r="E389" s="11">
        <v>1179200000</v>
      </c>
      <c r="F389" s="11">
        <v>1412200000</v>
      </c>
      <c r="G389" s="11">
        <v>717600000</v>
      </c>
      <c r="H389" s="11">
        <v>2714950000</v>
      </c>
      <c r="I389" s="11">
        <v>7739500000</v>
      </c>
      <c r="J389" s="11">
        <v>1238900000</v>
      </c>
      <c r="K389" s="11"/>
      <c r="L389" s="11">
        <v>23067344583.509998</v>
      </c>
      <c r="M389" s="11">
        <v>216500000</v>
      </c>
      <c r="N389" s="11">
        <v>15.11</v>
      </c>
      <c r="O389" s="11">
        <v>62300000</v>
      </c>
      <c r="P389" s="12">
        <f t="shared" si="72"/>
        <v>0.34663621797823163</v>
      </c>
      <c r="Q389" s="12">
        <f t="shared" si="73"/>
        <v>0.12159700239033529</v>
      </c>
      <c r="R389" s="12">
        <f t="shared" si="74"/>
        <v>0.11597757101484996</v>
      </c>
      <c r="S389" s="12">
        <f t="shared" si="75"/>
        <v>0.14532010598311665</v>
      </c>
      <c r="T389" s="12">
        <f t="shared" si="76"/>
        <v>0.69865056380553325</v>
      </c>
      <c r="U389" s="13">
        <f t="shared" si="77"/>
        <v>0.87728367086814896</v>
      </c>
      <c r="V389" s="13">
        <f t="shared" si="78"/>
        <v>17.211616331617332</v>
      </c>
      <c r="W389" s="12">
        <f t="shared" si="79"/>
        <v>0.18149398687355361</v>
      </c>
      <c r="X389" s="12">
        <f t="shared" si="80"/>
        <v>0.23004994155775157</v>
      </c>
      <c r="Y389" s="13">
        <f t="shared" si="81"/>
        <v>15.10593900481541</v>
      </c>
      <c r="Z389" s="13">
        <f t="shared" si="82"/>
        <v>24.511045142397194</v>
      </c>
      <c r="AA389" s="13">
        <f t="shared" si="83"/>
        <v>62283256.12177366</v>
      </c>
    </row>
    <row r="390" spans="1:27" x14ac:dyDescent="0.25">
      <c r="A390" s="10" t="s">
        <v>449</v>
      </c>
      <c r="B390" s="11">
        <v>1519566000</v>
      </c>
      <c r="C390" s="11">
        <v>2957013000</v>
      </c>
      <c r="D390" s="11">
        <v>3410588000</v>
      </c>
      <c r="E390" s="11">
        <v>1892543000</v>
      </c>
      <c r="F390" s="11">
        <v>2112735000</v>
      </c>
      <c r="G390" s="11">
        <v>1754221000</v>
      </c>
      <c r="H390" s="11">
        <v>6019022000</v>
      </c>
      <c r="I390" s="11">
        <v>8784285000</v>
      </c>
      <c r="J390" s="11">
        <v>404168000</v>
      </c>
      <c r="K390" s="11"/>
      <c r="L390" s="11">
        <v>30237002802.119999</v>
      </c>
      <c r="M390" s="11">
        <v>340162000</v>
      </c>
      <c r="N390" s="11">
        <v>10.38</v>
      </c>
      <c r="O390" s="11">
        <v>146369000</v>
      </c>
      <c r="P390" s="12">
        <f t="shared" si="72"/>
        <v>0.25246061569470923</v>
      </c>
      <c r="Q390" s="12">
        <f t="shared" si="73"/>
        <v>0.17298687371823659</v>
      </c>
      <c r="R390" s="12">
        <f t="shared" si="74"/>
        <v>0.51388546482548436</v>
      </c>
      <c r="S390" s="12">
        <f t="shared" si="75"/>
        <v>0.64001849163327995</v>
      </c>
      <c r="T390" s="12">
        <f t="shared" si="76"/>
        <v>1.1533895860451071</v>
      </c>
      <c r="U390" s="13">
        <f t="shared" si="77"/>
        <v>0.19130084937296915</v>
      </c>
      <c r="V390" s="13">
        <f t="shared" si="78"/>
        <v>14.503082876991199</v>
      </c>
      <c r="W390" s="12">
        <f t="shared" si="79"/>
        <v>0.27310744349770127</v>
      </c>
      <c r="X390" s="12">
        <f t="shared" si="80"/>
        <v>0.22385470588312717</v>
      </c>
      <c r="Y390" s="13">
        <f t="shared" si="81"/>
        <v>10.381747501178529</v>
      </c>
      <c r="Z390" s="13">
        <f t="shared" si="82"/>
        <v>19.898446531522815</v>
      </c>
      <c r="AA390" s="13">
        <f t="shared" si="83"/>
        <v>146393641.6184971</v>
      </c>
    </row>
    <row r="391" spans="1:27" x14ac:dyDescent="0.25">
      <c r="A391" s="10" t="s">
        <v>450</v>
      </c>
      <c r="B391" s="11">
        <v>1088000000</v>
      </c>
      <c r="C391" s="11">
        <v>8804000000</v>
      </c>
      <c r="D391" s="11">
        <v>4625000000</v>
      </c>
      <c r="E391" s="11">
        <v>1939000000</v>
      </c>
      <c r="F391" s="11">
        <v>2263000000</v>
      </c>
      <c r="G391" s="11">
        <v>1312000000</v>
      </c>
      <c r="H391" s="11">
        <v>3480500000</v>
      </c>
      <c r="I391" s="11">
        <v>11256000000</v>
      </c>
      <c r="J391" s="11">
        <v>1974700000</v>
      </c>
      <c r="K391" s="11"/>
      <c r="L391" s="11">
        <v>52018348770.93</v>
      </c>
      <c r="M391" s="11">
        <v>603000000</v>
      </c>
      <c r="N391" s="11">
        <v>9.65</v>
      </c>
      <c r="O391" s="11">
        <v>112700000</v>
      </c>
      <c r="P391" s="12">
        <f t="shared" si="72"/>
        <v>0.31259876454532393</v>
      </c>
      <c r="Q391" s="12">
        <f t="shared" si="73"/>
        <v>9.6659559346126508E-2</v>
      </c>
      <c r="R391" s="12">
        <f t="shared" si="74"/>
        <v>0.12358019082235347</v>
      </c>
      <c r="S391" s="12">
        <f t="shared" si="75"/>
        <v>0.22024079963652884</v>
      </c>
      <c r="T391" s="12">
        <f t="shared" si="76"/>
        <v>0.525329395729214</v>
      </c>
      <c r="U391" s="13">
        <f t="shared" si="77"/>
        <v>0.87260273972602742</v>
      </c>
      <c r="V391" s="13">
        <f t="shared" si="78"/>
        <v>23.859058228426868</v>
      </c>
      <c r="W391" s="12">
        <f t="shared" si="79"/>
        <v>0.24050447279659773</v>
      </c>
      <c r="X391" s="12">
        <f t="shared" si="80"/>
        <v>0.55422794117647056</v>
      </c>
      <c r="Y391" s="13">
        <f t="shared" si="81"/>
        <v>9.653948535936113</v>
      </c>
      <c r="Z391" s="13">
        <f t="shared" si="82"/>
        <v>47.81098232622243</v>
      </c>
      <c r="AA391" s="13">
        <f t="shared" si="83"/>
        <v>112746113.9896373</v>
      </c>
    </row>
    <row r="392" spans="1:27" x14ac:dyDescent="0.25">
      <c r="A392" s="10" t="s">
        <v>451</v>
      </c>
      <c r="B392" s="11">
        <v>529295000</v>
      </c>
      <c r="C392" s="11">
        <v>2161220000</v>
      </c>
      <c r="D392" s="11"/>
      <c r="E392" s="11">
        <v>728906000</v>
      </c>
      <c r="F392" s="11">
        <v>821828000</v>
      </c>
      <c r="G392" s="11">
        <v>621138000</v>
      </c>
      <c r="H392" s="11">
        <v>1368720000</v>
      </c>
      <c r="I392" s="11">
        <v>3160234000</v>
      </c>
      <c r="J392" s="11">
        <v>486627000</v>
      </c>
      <c r="K392" s="11"/>
      <c r="L392" s="11">
        <v>21555053960.400002</v>
      </c>
      <c r="M392" s="11">
        <v>335840000</v>
      </c>
      <c r="N392" s="11">
        <v>1.1000000000000001</v>
      </c>
      <c r="O392" s="11">
        <v>481398000</v>
      </c>
      <c r="P392" s="12">
        <f t="shared" si="72"/>
        <v>0.38670801917119646</v>
      </c>
      <c r="Q392" s="12">
        <f t="shared" si="73"/>
        <v>0.16748601527608398</v>
      </c>
      <c r="R392" s="12">
        <f t="shared" si="74"/>
        <v>0.24490565513922691</v>
      </c>
      <c r="S392" s="12">
        <f t="shared" si="75"/>
        <v>0.3372659886545562</v>
      </c>
      <c r="T392" s="12">
        <f t="shared" si="76"/>
        <v>0</v>
      </c>
      <c r="U392" s="13">
        <f t="shared" si="77"/>
        <v>0.59212754980360849</v>
      </c>
      <c r="V392" s="13">
        <f t="shared" si="78"/>
        <v>26.820309067590788</v>
      </c>
      <c r="W392" s="12">
        <f t="shared" si="79"/>
        <v>0.33478265790711925</v>
      </c>
      <c r="X392" s="12">
        <f t="shared" si="80"/>
        <v>0.63450438791222286</v>
      </c>
      <c r="Y392" s="13">
        <f t="shared" si="81"/>
        <v>1.0994956356279004</v>
      </c>
      <c r="Z392" s="13">
        <f t="shared" si="82"/>
        <v>40.724083848137617</v>
      </c>
      <c r="AA392" s="13">
        <f t="shared" si="83"/>
        <v>481177272.72727269</v>
      </c>
    </row>
    <row r="393" spans="1:27" x14ac:dyDescent="0.25">
      <c r="A393" s="10" t="s">
        <v>452</v>
      </c>
      <c r="B393" s="11">
        <v>1714100000</v>
      </c>
      <c r="C393" s="11">
        <v>8115000000</v>
      </c>
      <c r="D393" s="11">
        <v>5632100000</v>
      </c>
      <c r="E393" s="11">
        <v>2279200000</v>
      </c>
      <c r="F393" s="11">
        <v>3177400000</v>
      </c>
      <c r="G393" s="11"/>
      <c r="H393" s="11">
        <v>19020800000</v>
      </c>
      <c r="I393" s="11">
        <v>34550800000</v>
      </c>
      <c r="J393" s="11">
        <v>9301000000</v>
      </c>
      <c r="K393" s="11"/>
      <c r="L393" s="11">
        <v>35920525008.839996</v>
      </c>
      <c r="M393" s="11">
        <v>363800000</v>
      </c>
      <c r="N393" s="11">
        <v>16.39</v>
      </c>
      <c r="O393" s="11">
        <v>104600000</v>
      </c>
      <c r="P393" s="12">
        <f t="shared" si="72"/>
        <v>9.011713492597577E-2</v>
      </c>
      <c r="Q393" s="12">
        <f t="shared" si="73"/>
        <v>4.961100755988284E-2</v>
      </c>
      <c r="R393" s="12">
        <f t="shared" si="74"/>
        <v>0.21122612446087494</v>
      </c>
      <c r="S393" s="12">
        <f t="shared" si="75"/>
        <v>0.28086260012322861</v>
      </c>
      <c r="T393" s="12">
        <f t="shared" si="76"/>
        <v>0.69403573629081949</v>
      </c>
      <c r="U393" s="13">
        <f t="shared" si="77"/>
        <v>2.9272361049915023</v>
      </c>
      <c r="V393" s="13">
        <f t="shared" si="78"/>
        <v>14.232241772782777</v>
      </c>
      <c r="W393" s="12">
        <f t="shared" si="79"/>
        <v>0</v>
      </c>
      <c r="X393" s="12">
        <f t="shared" si="80"/>
        <v>0.21223965929642377</v>
      </c>
      <c r="Y393" s="13">
        <f t="shared" si="81"/>
        <v>16.38718929254302</v>
      </c>
      <c r="Z393" s="13">
        <f t="shared" si="82"/>
        <v>20.955909812052969</v>
      </c>
      <c r="AA393" s="13">
        <f t="shared" si="83"/>
        <v>104582062.23306894</v>
      </c>
    </row>
    <row r="394" spans="1:27" x14ac:dyDescent="0.25">
      <c r="A394" s="10" t="s">
        <v>453</v>
      </c>
      <c r="B394" s="11">
        <v>2315759000</v>
      </c>
      <c r="C394" s="11">
        <v>23776064000</v>
      </c>
      <c r="D394" s="11"/>
      <c r="E394" s="11">
        <v>2904913000</v>
      </c>
      <c r="F394" s="11">
        <v>3430965000</v>
      </c>
      <c r="G394" s="11">
        <v>2632326000</v>
      </c>
      <c r="H394" s="11">
        <v>5940540500</v>
      </c>
      <c r="I394" s="11">
        <v>15554572000</v>
      </c>
      <c r="J394" s="11">
        <v>1018187000</v>
      </c>
      <c r="K394" s="11"/>
      <c r="L394" s="11">
        <v>70764307323.490005</v>
      </c>
      <c r="M394" s="11">
        <v>538344000</v>
      </c>
      <c r="N394" s="11">
        <v>7.21</v>
      </c>
      <c r="O394" s="11">
        <v>321231000</v>
      </c>
      <c r="P394" s="12">
        <f t="shared" si="72"/>
        <v>0.3898229462453795</v>
      </c>
      <c r="Q394" s="12">
        <f t="shared" si="73"/>
        <v>0.1488796348751994</v>
      </c>
      <c r="R394" s="12">
        <f t="shared" si="74"/>
        <v>9.7398753637271504E-2</v>
      </c>
      <c r="S394" s="12">
        <f t="shared" si="75"/>
        <v>0.12217804427175162</v>
      </c>
      <c r="T394" s="12">
        <f t="shared" si="76"/>
        <v>0</v>
      </c>
      <c r="U394" s="13">
        <f t="shared" si="77"/>
        <v>0.29676402994492801</v>
      </c>
      <c r="V394" s="13">
        <f t="shared" si="78"/>
        <v>20.921954704723017</v>
      </c>
      <c r="W394" s="12">
        <f t="shared" si="79"/>
        <v>0.37827691916374079</v>
      </c>
      <c r="X394" s="12">
        <f t="shared" si="80"/>
        <v>0.23246978636377966</v>
      </c>
      <c r="Y394" s="13">
        <f t="shared" si="81"/>
        <v>7.2090146965890591</v>
      </c>
      <c r="Z394" s="13">
        <f t="shared" si="82"/>
        <v>30.557716637823713</v>
      </c>
      <c r="AA394" s="13">
        <f t="shared" si="83"/>
        <v>321187101.24826628</v>
      </c>
    </row>
    <row r="395" spans="1:27" x14ac:dyDescent="0.25">
      <c r="A395" s="10" t="s">
        <v>454</v>
      </c>
      <c r="B395" s="11">
        <v>2169512000</v>
      </c>
      <c r="C395" s="11">
        <v>19133000000</v>
      </c>
      <c r="D395" s="11"/>
      <c r="E395" s="11">
        <v>3328000000</v>
      </c>
      <c r="F395" s="11">
        <v>5169000000</v>
      </c>
      <c r="G395" s="11">
        <v>2594000000</v>
      </c>
      <c r="H395" s="11">
        <v>11821500000</v>
      </c>
      <c r="I395" s="11">
        <v>34600000000</v>
      </c>
      <c r="J395" s="11">
        <v>13710000000</v>
      </c>
      <c r="K395" s="11"/>
      <c r="L395" s="11">
        <v>67283059937.160004</v>
      </c>
      <c r="M395" s="11">
        <v>750000000</v>
      </c>
      <c r="N395" s="11">
        <v>7.01</v>
      </c>
      <c r="O395" s="11">
        <v>309273000</v>
      </c>
      <c r="P395" s="12">
        <f t="shared" si="72"/>
        <v>0.18352256481833948</v>
      </c>
      <c r="Q395" s="12">
        <f t="shared" si="73"/>
        <v>6.2702658959537569E-2</v>
      </c>
      <c r="R395" s="12">
        <f t="shared" si="74"/>
        <v>0.11339110437464067</v>
      </c>
      <c r="S395" s="12">
        <f t="shared" si="75"/>
        <v>0.17394031254899911</v>
      </c>
      <c r="T395" s="12">
        <f t="shared" si="76"/>
        <v>0</v>
      </c>
      <c r="U395" s="13">
        <f t="shared" si="77"/>
        <v>2.6523505513639001</v>
      </c>
      <c r="V395" s="13">
        <f t="shared" si="78"/>
        <v>15.668999794381893</v>
      </c>
      <c r="W395" s="12">
        <f t="shared" si="79"/>
        <v>0.10159998433307875</v>
      </c>
      <c r="X395" s="12">
        <f t="shared" si="80"/>
        <v>0.34569986245754808</v>
      </c>
      <c r="Y395" s="13">
        <f t="shared" si="81"/>
        <v>7.0148768240357224</v>
      </c>
      <c r="Z395" s="13">
        <f t="shared" si="82"/>
        <v>31.012992754665568</v>
      </c>
      <c r="AA395" s="13">
        <f t="shared" si="83"/>
        <v>309488159.77175462</v>
      </c>
    </row>
    <row r="396" spans="1:27" x14ac:dyDescent="0.25">
      <c r="A396" s="10" t="s">
        <v>455</v>
      </c>
      <c r="B396" s="11">
        <v>7256000000</v>
      </c>
      <c r="C396" s="11">
        <v>80738000000</v>
      </c>
      <c r="D396" s="11"/>
      <c r="E396" s="11">
        <v>9820000000</v>
      </c>
      <c r="F396" s="11">
        <v>14198000000</v>
      </c>
      <c r="G396" s="11">
        <v>8457000000</v>
      </c>
      <c r="H396" s="11">
        <v>63898000000</v>
      </c>
      <c r="I396" s="11">
        <v>170431000000</v>
      </c>
      <c r="J396" s="11">
        <v>41078000000</v>
      </c>
      <c r="K396" s="11"/>
      <c r="L396" s="11">
        <v>262872601035.85001</v>
      </c>
      <c r="M396" s="11">
        <v>3649000000</v>
      </c>
      <c r="N396" s="11">
        <v>5.32</v>
      </c>
      <c r="O396" s="11">
        <v>1364600000</v>
      </c>
      <c r="P396" s="12">
        <f t="shared" si="72"/>
        <v>0.11355597984287458</v>
      </c>
      <c r="Q396" s="12">
        <f t="shared" si="73"/>
        <v>4.2574414279092421E-2</v>
      </c>
      <c r="R396" s="12">
        <f t="shared" si="74"/>
        <v>8.9870940573212113E-2</v>
      </c>
      <c r="S396" s="12">
        <f t="shared" si="75"/>
        <v>0.12162798186727439</v>
      </c>
      <c r="T396" s="12">
        <f t="shared" si="76"/>
        <v>0</v>
      </c>
      <c r="U396" s="13">
        <f t="shared" si="77"/>
        <v>2.8932243978025074</v>
      </c>
      <c r="V396" s="13">
        <f t="shared" si="78"/>
        <v>21.407987113385687</v>
      </c>
      <c r="W396" s="12">
        <f t="shared" si="79"/>
        <v>8.0561271147690905E-2</v>
      </c>
      <c r="X396" s="12">
        <f t="shared" si="80"/>
        <v>0.50289415656008818</v>
      </c>
      <c r="Y396" s="13">
        <f t="shared" si="81"/>
        <v>5.3173091015682248</v>
      </c>
      <c r="Z396" s="13">
        <f t="shared" si="82"/>
        <v>36.228307750254963</v>
      </c>
      <c r="AA396" s="13">
        <f t="shared" si="83"/>
        <v>1363909774.4360902</v>
      </c>
    </row>
    <row r="397" spans="1:27" x14ac:dyDescent="0.25">
      <c r="A397" s="10" t="s">
        <v>456</v>
      </c>
      <c r="B397" s="11">
        <v>239682000</v>
      </c>
      <c r="C397" s="11">
        <v>3311822000</v>
      </c>
      <c r="D397" s="11">
        <v>1989830000</v>
      </c>
      <c r="E397" s="11">
        <v>360291000</v>
      </c>
      <c r="F397" s="11">
        <v>773265000</v>
      </c>
      <c r="G397" s="11">
        <v>492693000</v>
      </c>
      <c r="H397" s="11">
        <v>7409934500</v>
      </c>
      <c r="I397" s="11">
        <v>11996590000</v>
      </c>
      <c r="J397" s="11">
        <v>3899642000</v>
      </c>
      <c r="K397" s="11"/>
      <c r="L397" s="11">
        <v>12600676019.9</v>
      </c>
      <c r="M397" s="11">
        <v>32207000</v>
      </c>
      <c r="N397" s="11">
        <v>2.14</v>
      </c>
      <c r="O397" s="11">
        <v>111876000</v>
      </c>
      <c r="P397" s="12">
        <f t="shared" si="72"/>
        <v>3.2346034907596015E-2</v>
      </c>
      <c r="Q397" s="12">
        <f t="shared" si="73"/>
        <v>1.9979177416249116E-2</v>
      </c>
      <c r="R397" s="12">
        <f t="shared" si="74"/>
        <v>7.2371643161981525E-2</v>
      </c>
      <c r="S397" s="12">
        <f t="shared" si="75"/>
        <v>0.10878936126398098</v>
      </c>
      <c r="T397" s="12">
        <f t="shared" si="76"/>
        <v>0.60082637291496943</v>
      </c>
      <c r="U397" s="13">
        <f t="shared" si="77"/>
        <v>5.0430861347662184</v>
      </c>
      <c r="V397" s="13">
        <f t="shared" si="78"/>
        <v>21.338503643511604</v>
      </c>
      <c r="W397" s="12">
        <f t="shared" si="79"/>
        <v>4.3564230720752453E-2</v>
      </c>
      <c r="X397" s="12">
        <f t="shared" si="80"/>
        <v>0.13437387872264084</v>
      </c>
      <c r="Y397" s="13">
        <f t="shared" si="81"/>
        <v>2.1423897886946262</v>
      </c>
      <c r="Z397" s="13">
        <f t="shared" si="82"/>
        <v>52.572475279328444</v>
      </c>
      <c r="AA397" s="13">
        <f t="shared" si="83"/>
        <v>112000934.57943925</v>
      </c>
    </row>
    <row r="398" spans="1:27" x14ac:dyDescent="0.25">
      <c r="A398" s="10" t="s">
        <v>457</v>
      </c>
      <c r="B398" s="11">
        <v>-14441396000</v>
      </c>
      <c r="C398" s="11">
        <v>14802720000</v>
      </c>
      <c r="D398" s="11"/>
      <c r="E398" s="11">
        <v>-17242167000</v>
      </c>
      <c r="F398" s="11">
        <v>-15978350000</v>
      </c>
      <c r="G398" s="11">
        <v>-908583000</v>
      </c>
      <c r="H398" s="11">
        <v>12819478500</v>
      </c>
      <c r="I398" s="11">
        <v>41375692000</v>
      </c>
      <c r="J398" s="11">
        <v>1980000000</v>
      </c>
      <c r="K398" s="11"/>
      <c r="L398" s="11">
        <v>30115968605.52</v>
      </c>
      <c r="M398" s="11"/>
      <c r="N398" s="11">
        <v>-49.97</v>
      </c>
      <c r="O398" s="11">
        <v>289014000</v>
      </c>
      <c r="P398" s="12">
        <f t="shared" si="72"/>
        <v>-1.1265197722356646</v>
      </c>
      <c r="Q398" s="12">
        <f t="shared" si="73"/>
        <v>-0.34903092376074341</v>
      </c>
      <c r="R398" s="12">
        <f t="shared" si="74"/>
        <v>-0.97559070224931632</v>
      </c>
      <c r="S398" s="12">
        <f t="shared" si="75"/>
        <v>-1.164797212944648</v>
      </c>
      <c r="T398" s="12">
        <f t="shared" si="76"/>
        <v>0</v>
      </c>
      <c r="U398" s="13">
        <f t="shared" si="77"/>
        <v>-0.12391767610548023</v>
      </c>
      <c r="V398" s="13">
        <f t="shared" si="78"/>
        <v>-2.0087160817931764</v>
      </c>
      <c r="W398" s="12">
        <f t="shared" si="79"/>
        <v>-6.1392906513563973E-2</v>
      </c>
      <c r="X398" s="12">
        <f t="shared" si="80"/>
        <v>0</v>
      </c>
      <c r="Y398" s="13">
        <f t="shared" si="81"/>
        <v>-49.967807787858028</v>
      </c>
      <c r="Z398" s="13">
        <f t="shared" si="82"/>
        <v>-2.0853917866056717</v>
      </c>
      <c r="AA398" s="13">
        <f t="shared" si="83"/>
        <v>289001320.79247552</v>
      </c>
    </row>
    <row r="399" spans="1:27" x14ac:dyDescent="0.25">
      <c r="A399" s="10" t="s">
        <v>458</v>
      </c>
      <c r="B399" s="11">
        <v>1017730000</v>
      </c>
      <c r="C399" s="11">
        <v>2854329000</v>
      </c>
      <c r="D399" s="11">
        <v>2145687000</v>
      </c>
      <c r="E399" s="11">
        <v>1350724000</v>
      </c>
      <c r="F399" s="11">
        <v>1491224000</v>
      </c>
      <c r="G399" s="11">
        <v>1018195000</v>
      </c>
      <c r="H399" s="11">
        <v>-4861174000</v>
      </c>
      <c r="I399" s="11">
        <v>11720844000</v>
      </c>
      <c r="J399" s="11">
        <v>12959731000</v>
      </c>
      <c r="K399" s="11"/>
      <c r="L399" s="11">
        <v>19354378889.009998</v>
      </c>
      <c r="M399" s="11">
        <v>491932000</v>
      </c>
      <c r="N399" s="11">
        <v>9.59</v>
      </c>
      <c r="O399" s="11">
        <v>106111000</v>
      </c>
      <c r="P399" s="12">
        <f t="shared" si="72"/>
        <v>-0.20935889149411233</v>
      </c>
      <c r="Q399" s="12">
        <f t="shared" si="73"/>
        <v>8.6830777715324936E-2</v>
      </c>
      <c r="R399" s="12">
        <f t="shared" si="74"/>
        <v>0.35655665482150095</v>
      </c>
      <c r="S399" s="12">
        <f t="shared" si="75"/>
        <v>0.47321945017550537</v>
      </c>
      <c r="T399" s="12">
        <f t="shared" si="76"/>
        <v>0.7517307920705707</v>
      </c>
      <c r="U399" s="13">
        <f t="shared" si="77"/>
        <v>8.6906668615848464</v>
      </c>
      <c r="V399" s="13">
        <f t="shared" si="78"/>
        <v>21.669521070617158</v>
      </c>
      <c r="W399" s="12">
        <f t="shared" si="79"/>
        <v>0.12572548418193513</v>
      </c>
      <c r="X399" s="12">
        <f t="shared" si="80"/>
        <v>0.4833619918838985</v>
      </c>
      <c r="Y399" s="13">
        <f t="shared" si="81"/>
        <v>9.591182817992479</v>
      </c>
      <c r="Z399" s="13">
        <f t="shared" si="82"/>
        <v>19.017203864492547</v>
      </c>
      <c r="AA399" s="13">
        <f t="shared" si="83"/>
        <v>106124087.59124088</v>
      </c>
    </row>
    <row r="400" spans="1:27" x14ac:dyDescent="0.25">
      <c r="A400" s="10" t="s">
        <v>459</v>
      </c>
      <c r="B400" s="11">
        <v>1495600000</v>
      </c>
      <c r="C400" s="11">
        <v>38471600000</v>
      </c>
      <c r="D400" s="11"/>
      <c r="E400" s="11">
        <v>2932600000</v>
      </c>
      <c r="F400" s="11">
        <v>4657700000</v>
      </c>
      <c r="G400" s="11">
        <v>2725900000</v>
      </c>
      <c r="H400" s="11">
        <v>-8043800000</v>
      </c>
      <c r="I400" s="11">
        <v>30557500000</v>
      </c>
      <c r="J400" s="11">
        <v>15081900000</v>
      </c>
      <c r="K400" s="11"/>
      <c r="L400" s="11">
        <v>121275481173.71001</v>
      </c>
      <c r="M400" s="11">
        <v>2797900000</v>
      </c>
      <c r="N400" s="11">
        <v>1.31</v>
      </c>
      <c r="O400" s="11">
        <v>1142600000</v>
      </c>
      <c r="P400" s="12">
        <f t="shared" si="72"/>
        <v>-0.18593202217857233</v>
      </c>
      <c r="Q400" s="12">
        <f t="shared" si="73"/>
        <v>4.894379448580545E-2</v>
      </c>
      <c r="R400" s="12">
        <f t="shared" si="74"/>
        <v>3.8875430187462957E-2</v>
      </c>
      <c r="S400" s="12">
        <f t="shared" si="75"/>
        <v>7.6227658844446294E-2</v>
      </c>
      <c r="T400" s="12">
        <f t="shared" si="76"/>
        <v>0</v>
      </c>
      <c r="U400" s="13">
        <f t="shared" si="77"/>
        <v>3.2380574103098096</v>
      </c>
      <c r="V400" s="13">
        <f t="shared" si="78"/>
        <v>29.275689970094682</v>
      </c>
      <c r="W400" s="12">
        <f t="shared" si="79"/>
        <v>0.38730623321635099</v>
      </c>
      <c r="X400" s="12">
        <f t="shared" si="80"/>
        <v>1.8707542123562451</v>
      </c>
      <c r="Y400" s="13">
        <f t="shared" si="81"/>
        <v>1.3089445125153159</v>
      </c>
      <c r="Z400" s="13">
        <f t="shared" si="82"/>
        <v>81.088179442170372</v>
      </c>
      <c r="AA400" s="13">
        <f t="shared" si="83"/>
        <v>1141679389.3129771</v>
      </c>
    </row>
    <row r="401" spans="1:27" x14ac:dyDescent="0.25">
      <c r="A401" s="10" t="s">
        <v>460</v>
      </c>
      <c r="B401" s="11">
        <v>9422000000</v>
      </c>
      <c r="C401" s="11">
        <v>24804000000</v>
      </c>
      <c r="D401" s="11"/>
      <c r="E401" s="11"/>
      <c r="F401" s="11"/>
      <c r="G401" s="11">
        <v>9723000000</v>
      </c>
      <c r="H401" s="11">
        <v>49372500000</v>
      </c>
      <c r="I401" s="11">
        <v>493319000000</v>
      </c>
      <c r="J401" s="11">
        <v>18914000000</v>
      </c>
      <c r="K401" s="11"/>
      <c r="L401" s="11">
        <v>177235305887.26999</v>
      </c>
      <c r="M401" s="11">
        <v>2366000000</v>
      </c>
      <c r="N401" s="11">
        <v>5.38</v>
      </c>
      <c r="O401" s="11">
        <v>1752000000</v>
      </c>
      <c r="P401" s="12">
        <f t="shared" si="72"/>
        <v>0.1908349789862778</v>
      </c>
      <c r="Q401" s="12">
        <f t="shared" si="73"/>
        <v>1.9099203557941209E-2</v>
      </c>
      <c r="R401" s="12">
        <f t="shared" si="74"/>
        <v>0.37985808740525723</v>
      </c>
      <c r="S401" s="12">
        <f t="shared" si="75"/>
        <v>0</v>
      </c>
      <c r="T401" s="12">
        <f t="shared" si="76"/>
        <v>0</v>
      </c>
      <c r="U401" s="13" t="str">
        <f t="shared" si="77"/>
        <v/>
      </c>
      <c r="V401" s="13" t="str">
        <f t="shared" si="78"/>
        <v/>
      </c>
      <c r="W401" s="12">
        <f t="shared" si="79"/>
        <v>0.1423853909630747</v>
      </c>
      <c r="X401" s="12">
        <f t="shared" si="80"/>
        <v>0.25111441307578009</v>
      </c>
      <c r="Y401" s="13">
        <f t="shared" si="81"/>
        <v>5.377853881278539</v>
      </c>
      <c r="Z401" s="13">
        <f t="shared" si="82"/>
        <v>18.810794511491189</v>
      </c>
      <c r="AA401" s="13">
        <f t="shared" si="83"/>
        <v>1751301115.2416358</v>
      </c>
    </row>
    <row r="402" spans="1:27" x14ac:dyDescent="0.25">
      <c r="A402" s="10" t="s">
        <v>461</v>
      </c>
      <c r="B402" s="11">
        <v>2599300000</v>
      </c>
      <c r="C402" s="11">
        <v>23935500000</v>
      </c>
      <c r="D402" s="11">
        <v>11736900000</v>
      </c>
      <c r="E402" s="11">
        <v>4409600000</v>
      </c>
      <c r="F402" s="11">
        <v>4768300000</v>
      </c>
      <c r="G402" s="11">
        <v>2905200000</v>
      </c>
      <c r="H402" s="11">
        <v>4280600000</v>
      </c>
      <c r="I402" s="11">
        <v>26378700000</v>
      </c>
      <c r="J402" s="11">
        <v>9323200000</v>
      </c>
      <c r="K402" s="11"/>
      <c r="L402" s="11">
        <v>81890424939.559998</v>
      </c>
      <c r="M402" s="11">
        <v>786500000</v>
      </c>
      <c r="N402" s="11">
        <v>10.48</v>
      </c>
      <c r="O402" s="11">
        <v>248100000</v>
      </c>
      <c r="P402" s="12">
        <f t="shared" si="72"/>
        <v>0.60722795869737889</v>
      </c>
      <c r="Q402" s="12">
        <f t="shared" si="73"/>
        <v>9.8537835450571862E-2</v>
      </c>
      <c r="R402" s="12">
        <f t="shared" si="74"/>
        <v>0.10859601846629484</v>
      </c>
      <c r="S402" s="12">
        <f t="shared" si="75"/>
        <v>0.18422844728541288</v>
      </c>
      <c r="T402" s="12">
        <f t="shared" si="76"/>
        <v>0.49035532994923858</v>
      </c>
      <c r="U402" s="13">
        <f t="shared" si="77"/>
        <v>1.9552461044816811</v>
      </c>
      <c r="V402" s="13">
        <f t="shared" si="78"/>
        <v>19.129170760975608</v>
      </c>
      <c r="W402" s="12">
        <f t="shared" si="79"/>
        <v>0.21355797644775723</v>
      </c>
      <c r="X402" s="12">
        <f t="shared" si="80"/>
        <v>0.30258146424037241</v>
      </c>
      <c r="Y402" s="13">
        <f t="shared" si="81"/>
        <v>10.476823861346231</v>
      </c>
      <c r="Z402" s="13">
        <f t="shared" si="82"/>
        <v>31.504799345808486</v>
      </c>
      <c r="AA402" s="13">
        <f t="shared" si="83"/>
        <v>248024809.16030532</v>
      </c>
    </row>
    <row r="403" spans="1:27" x14ac:dyDescent="0.25">
      <c r="A403" s="10" t="s">
        <v>462</v>
      </c>
      <c r="B403" s="11">
        <v>-138700000</v>
      </c>
      <c r="C403" s="11"/>
      <c r="D403" s="11"/>
      <c r="E403" s="11"/>
      <c r="F403" s="11">
        <v>706600000</v>
      </c>
      <c r="G403" s="11">
        <v>1156200000</v>
      </c>
      <c r="H403" s="11">
        <v>5813200000</v>
      </c>
      <c r="I403" s="11">
        <v>16219400000</v>
      </c>
      <c r="J403" s="11">
        <v>6542800000</v>
      </c>
      <c r="K403" s="11"/>
      <c r="L403" s="11">
        <v>11849862393.860001</v>
      </c>
      <c r="M403" s="11"/>
      <c r="N403" s="11">
        <v>-1.3</v>
      </c>
      <c r="O403" s="11">
        <v>106900000</v>
      </c>
      <c r="P403" s="12">
        <f t="shared" si="72"/>
        <v>-2.3859492190187848E-2</v>
      </c>
      <c r="Q403" s="12">
        <f t="shared" si="73"/>
        <v>-8.5514877245767406E-3</v>
      </c>
      <c r="R403" s="12" t="str">
        <f t="shared" si="74"/>
        <v/>
      </c>
      <c r="S403" s="12" t="str">
        <f t="shared" si="75"/>
        <v/>
      </c>
      <c r="T403" s="12" t="str">
        <f t="shared" si="76"/>
        <v/>
      </c>
      <c r="U403" s="13">
        <f t="shared" si="77"/>
        <v>9.2595527879988673</v>
      </c>
      <c r="V403" s="13">
        <f t="shared" si="78"/>
        <v>26.029808086413812</v>
      </c>
      <c r="W403" s="12">
        <f t="shared" si="79"/>
        <v>9.3573972159274849E-2</v>
      </c>
      <c r="X403" s="12">
        <f t="shared" si="80"/>
        <v>0</v>
      </c>
      <c r="Y403" s="13">
        <f t="shared" si="81"/>
        <v>-1.2974742750233863</v>
      </c>
      <c r="Z403" s="13">
        <f t="shared" si="82"/>
        <v>-85.43520110930065</v>
      </c>
      <c r="AA403" s="13">
        <f t="shared" si="83"/>
        <v>106692307.6923077</v>
      </c>
    </row>
    <row r="404" spans="1:27" x14ac:dyDescent="0.25">
      <c r="A404" s="10" t="s">
        <v>463</v>
      </c>
      <c r="B404" s="11">
        <v>3329000000</v>
      </c>
      <c r="C404" s="11">
        <v>35939000000</v>
      </c>
      <c r="D404" s="11"/>
      <c r="E404" s="11">
        <v>6781000000</v>
      </c>
      <c r="F404" s="11">
        <v>9469000000</v>
      </c>
      <c r="G404" s="11">
        <v>4677000000</v>
      </c>
      <c r="H404" s="11">
        <v>22846000000</v>
      </c>
      <c r="I404" s="11">
        <v>54526000000</v>
      </c>
      <c r="J404" s="11">
        <v>9670000000</v>
      </c>
      <c r="K404" s="11"/>
      <c r="L404" s="11">
        <v>70626526415.039993</v>
      </c>
      <c r="M404" s="11">
        <v>1642000000</v>
      </c>
      <c r="N404" s="11">
        <v>2.2000000000000002</v>
      </c>
      <c r="O404" s="11">
        <v>1515000000</v>
      </c>
      <c r="P404" s="12">
        <f t="shared" si="72"/>
        <v>0.1457147859581546</v>
      </c>
      <c r="Q404" s="12">
        <f t="shared" si="73"/>
        <v>6.1053442394454024E-2</v>
      </c>
      <c r="R404" s="12">
        <f t="shared" si="74"/>
        <v>9.262917721695095E-2</v>
      </c>
      <c r="S404" s="12">
        <f t="shared" si="75"/>
        <v>0.18868082027880576</v>
      </c>
      <c r="T404" s="12">
        <f t="shared" si="76"/>
        <v>0</v>
      </c>
      <c r="U404" s="13">
        <f t="shared" si="77"/>
        <v>1.0212271623191467</v>
      </c>
      <c r="V404" s="13">
        <f t="shared" si="78"/>
        <v>8.479937312814446</v>
      </c>
      <c r="W404" s="12">
        <f t="shared" si="79"/>
        <v>0.14383688030508057</v>
      </c>
      <c r="X404" s="12">
        <f t="shared" si="80"/>
        <v>0.49324121357765094</v>
      </c>
      <c r="Y404" s="13">
        <f t="shared" si="81"/>
        <v>2.1973597359735972</v>
      </c>
      <c r="Z404" s="13">
        <f t="shared" si="82"/>
        <v>21.215538124073294</v>
      </c>
      <c r="AA404" s="13">
        <f t="shared" si="83"/>
        <v>1513181818.181818</v>
      </c>
    </row>
    <row r="405" spans="1:27" x14ac:dyDescent="0.25">
      <c r="A405" s="10" t="s">
        <v>464</v>
      </c>
      <c r="B405" s="11">
        <v>1247390000</v>
      </c>
      <c r="C405" s="11">
        <v>33700206000</v>
      </c>
      <c r="D405" s="11">
        <v>2828722000</v>
      </c>
      <c r="E405" s="11">
        <v>1510813000</v>
      </c>
      <c r="F405" s="11">
        <v>1560813000</v>
      </c>
      <c r="G405" s="11">
        <v>-6849681000</v>
      </c>
      <c r="H405" s="11">
        <v>6977374500</v>
      </c>
      <c r="I405" s="11">
        <v>23452029000</v>
      </c>
      <c r="J405" s="11">
        <v>120179000</v>
      </c>
      <c r="K405" s="11"/>
      <c r="L405" s="11">
        <v>18267694134.419998</v>
      </c>
      <c r="M405" s="11"/>
      <c r="N405" s="11">
        <v>1.85</v>
      </c>
      <c r="O405" s="11">
        <v>673598000</v>
      </c>
      <c r="P405" s="12">
        <f t="shared" si="72"/>
        <v>0.17877641511144343</v>
      </c>
      <c r="Q405" s="12">
        <f t="shared" si="73"/>
        <v>5.3189001258697063E-2</v>
      </c>
      <c r="R405" s="12">
        <f t="shared" si="74"/>
        <v>3.7014313799743535E-2</v>
      </c>
      <c r="S405" s="12">
        <f t="shared" si="75"/>
        <v>4.4830972249843219E-2</v>
      </c>
      <c r="T405" s="12">
        <f t="shared" si="76"/>
        <v>8.3937825187181347E-2</v>
      </c>
      <c r="U405" s="13">
        <f t="shared" si="77"/>
        <v>7.6997692869036835E-2</v>
      </c>
      <c r="V405" s="13">
        <f t="shared" si="78"/>
        <v>11.780958471271061</v>
      </c>
      <c r="W405" s="12">
        <f t="shared" si="79"/>
        <v>-0.96507634637766382</v>
      </c>
      <c r="X405" s="12">
        <f t="shared" si="80"/>
        <v>0</v>
      </c>
      <c r="Y405" s="13">
        <f t="shared" si="81"/>
        <v>1.8518315078132654</v>
      </c>
      <c r="Z405" s="13">
        <f t="shared" si="82"/>
        <v>14.644733511107191</v>
      </c>
      <c r="AA405" s="13">
        <f t="shared" si="83"/>
        <v>674264864.86486483</v>
      </c>
    </row>
    <row r="406" spans="1:27" x14ac:dyDescent="0.25">
      <c r="A406" s="10" t="s">
        <v>465</v>
      </c>
      <c r="B406" s="11">
        <v>1023400000</v>
      </c>
      <c r="C406" s="11">
        <v>5221200000</v>
      </c>
      <c r="D406" s="11"/>
      <c r="E406" s="11">
        <v>1333100000</v>
      </c>
      <c r="F406" s="11">
        <v>1431600000</v>
      </c>
      <c r="G406" s="11"/>
      <c r="H406" s="11">
        <v>5739450000</v>
      </c>
      <c r="I406" s="11">
        <v>8516400000</v>
      </c>
      <c r="J406" s="11">
        <v>1203100000</v>
      </c>
      <c r="K406" s="11"/>
      <c r="L406" s="11">
        <v>20722320394.25</v>
      </c>
      <c r="M406" s="11">
        <v>476800000</v>
      </c>
      <c r="N406" s="11">
        <v>19.420000000000002</v>
      </c>
      <c r="O406" s="11">
        <v>52701388</v>
      </c>
      <c r="P406" s="12">
        <f t="shared" si="72"/>
        <v>0.17830976835759524</v>
      </c>
      <c r="Q406" s="12">
        <f t="shared" si="73"/>
        <v>0.12016814616504626</v>
      </c>
      <c r="R406" s="12">
        <f t="shared" si="74"/>
        <v>0.1960085804029725</v>
      </c>
      <c r="S406" s="12">
        <f t="shared" si="75"/>
        <v>0.25532444648739755</v>
      </c>
      <c r="T406" s="12">
        <f t="shared" si="76"/>
        <v>0</v>
      </c>
      <c r="U406" s="13">
        <f t="shared" si="77"/>
        <v>0.84038837664152</v>
      </c>
      <c r="V406" s="13">
        <f t="shared" si="78"/>
        <v>15.315325785310142</v>
      </c>
      <c r="W406" s="12">
        <f t="shared" si="79"/>
        <v>0</v>
      </c>
      <c r="X406" s="12">
        <f t="shared" si="80"/>
        <v>0.46589798710181746</v>
      </c>
      <c r="Y406" s="13">
        <f t="shared" si="81"/>
        <v>19.418843389855311</v>
      </c>
      <c r="Z406" s="13">
        <f t="shared" si="82"/>
        <v>20.248505368624194</v>
      </c>
      <c r="AA406" s="13">
        <f t="shared" si="83"/>
        <v>52698249.227600411</v>
      </c>
    </row>
    <row r="407" spans="1:27" x14ac:dyDescent="0.25">
      <c r="A407" s="10" t="s">
        <v>466</v>
      </c>
      <c r="B407" s="11">
        <v>4507000000</v>
      </c>
      <c r="C407" s="11">
        <v>13184000000</v>
      </c>
      <c r="D407" s="11">
        <v>7388000000</v>
      </c>
      <c r="E407" s="11">
        <v>5370000000</v>
      </c>
      <c r="F407" s="11">
        <v>5518000000</v>
      </c>
      <c r="G407" s="11">
        <v>4460000000</v>
      </c>
      <c r="H407" s="11">
        <v>11469000000</v>
      </c>
      <c r="I407" s="11">
        <v>17075000000</v>
      </c>
      <c r="J407" s="11">
        <v>0</v>
      </c>
      <c r="K407" s="11"/>
      <c r="L407" s="11">
        <v>275190757491.03998</v>
      </c>
      <c r="M407" s="11"/>
      <c r="N407" s="11">
        <v>29.27</v>
      </c>
      <c r="O407" s="11">
        <v>154000000</v>
      </c>
      <c r="P407" s="12">
        <f t="shared" si="72"/>
        <v>0.39297236027552535</v>
      </c>
      <c r="Q407" s="12">
        <f t="shared" si="73"/>
        <v>0.26395314787701318</v>
      </c>
      <c r="R407" s="12">
        <f t="shared" si="74"/>
        <v>0.34185376213592233</v>
      </c>
      <c r="S407" s="12">
        <f t="shared" si="75"/>
        <v>0.4073118932038835</v>
      </c>
      <c r="T407" s="12">
        <f t="shared" si="76"/>
        <v>0.560376213592233</v>
      </c>
      <c r="U407" s="13">
        <f t="shared" si="77"/>
        <v>0</v>
      </c>
      <c r="V407" s="13">
        <f t="shared" si="78"/>
        <v>49.87146746847408</v>
      </c>
      <c r="W407" s="12">
        <f t="shared" si="79"/>
        <v>0.38887435696224604</v>
      </c>
      <c r="X407" s="12">
        <f t="shared" si="80"/>
        <v>0</v>
      </c>
      <c r="Y407" s="13">
        <f t="shared" si="81"/>
        <v>29.266233766233768</v>
      </c>
      <c r="Z407" s="13">
        <f t="shared" si="82"/>
        <v>61.058521741965826</v>
      </c>
      <c r="AA407" s="13">
        <f t="shared" si="83"/>
        <v>153980184.48923814</v>
      </c>
    </row>
    <row r="408" spans="1:27" x14ac:dyDescent="0.25">
      <c r="A408" s="10" t="s">
        <v>467</v>
      </c>
      <c r="B408" s="11">
        <v>773268000</v>
      </c>
      <c r="C408" s="11">
        <v>5081542000</v>
      </c>
      <c r="D408" s="11">
        <v>6376921000</v>
      </c>
      <c r="E408" s="11">
        <v>610134000</v>
      </c>
      <c r="F408" s="11">
        <v>2080903000</v>
      </c>
      <c r="G408" s="11">
        <v>2633795000</v>
      </c>
      <c r="H408" s="11">
        <v>20196924500</v>
      </c>
      <c r="I408" s="11">
        <v>46889027000</v>
      </c>
      <c r="J408" s="11">
        <v>10035962000</v>
      </c>
      <c r="K408" s="11"/>
      <c r="L408" s="11">
        <v>84896187390.289993</v>
      </c>
      <c r="M408" s="11"/>
      <c r="N408" s="11">
        <v>4.04</v>
      </c>
      <c r="O408" s="11">
        <v>191580000</v>
      </c>
      <c r="P408" s="12">
        <f t="shared" si="72"/>
        <v>3.8286423262115975E-2</v>
      </c>
      <c r="Q408" s="12">
        <f t="shared" si="73"/>
        <v>1.6491449054807643E-2</v>
      </c>
      <c r="R408" s="12">
        <f t="shared" si="74"/>
        <v>0.15217191946853928</v>
      </c>
      <c r="S408" s="12">
        <f t="shared" si="75"/>
        <v>0.12006867206843908</v>
      </c>
      <c r="T408" s="12">
        <f t="shared" si="76"/>
        <v>1.2549184873410473</v>
      </c>
      <c r="U408" s="13">
        <f t="shared" si="77"/>
        <v>4.8228879481648113</v>
      </c>
      <c r="V408" s="13">
        <f t="shared" si="78"/>
        <v>45.620650933892641</v>
      </c>
      <c r="W408" s="12">
        <f t="shared" si="79"/>
        <v>8.7116888425456826E-2</v>
      </c>
      <c r="X408" s="12">
        <f t="shared" si="80"/>
        <v>0</v>
      </c>
      <c r="Y408" s="13">
        <f t="shared" si="81"/>
        <v>4.0362668336987158</v>
      </c>
      <c r="Z408" s="13">
        <f t="shared" si="82"/>
        <v>109.78882792290641</v>
      </c>
      <c r="AA408" s="13">
        <f t="shared" si="83"/>
        <v>191402970.2970297</v>
      </c>
    </row>
    <row r="409" spans="1:27" x14ac:dyDescent="0.25">
      <c r="A409" s="10" t="s">
        <v>468</v>
      </c>
      <c r="B409" s="11">
        <v>4363000000</v>
      </c>
      <c r="C409" s="11">
        <v>30175000000</v>
      </c>
      <c r="D409" s="11"/>
      <c r="E409" s="11">
        <v>7293000000</v>
      </c>
      <c r="F409" s="11"/>
      <c r="G409" s="11">
        <v>-3466000000</v>
      </c>
      <c r="H409" s="11">
        <v>34612000000</v>
      </c>
      <c r="I409" s="11">
        <v>157031000000</v>
      </c>
      <c r="J409" s="11"/>
      <c r="K409" s="11"/>
      <c r="L409" s="11">
        <v>107285243432.50999</v>
      </c>
      <c r="M409" s="11">
        <v>3055000000</v>
      </c>
      <c r="N409" s="11">
        <v>3.87</v>
      </c>
      <c r="O409" s="11">
        <v>1128000000</v>
      </c>
      <c r="P409" s="12">
        <f t="shared" si="72"/>
        <v>0.12605454755576101</v>
      </c>
      <c r="Q409" s="12">
        <f t="shared" si="73"/>
        <v>2.7784322840712979E-2</v>
      </c>
      <c r="R409" s="12">
        <f t="shared" si="74"/>
        <v>0.14458989229494615</v>
      </c>
      <c r="S409" s="12">
        <f t="shared" si="75"/>
        <v>0.24169014084507043</v>
      </c>
      <c r="T409" s="12">
        <f t="shared" si="76"/>
        <v>0</v>
      </c>
      <c r="U409" s="13" t="str">
        <f t="shared" si="77"/>
        <v/>
      </c>
      <c r="V409" s="13" t="str">
        <f t="shared" si="78"/>
        <v/>
      </c>
      <c r="W409" s="12">
        <f t="shared" si="79"/>
        <v>-0.10013868022651104</v>
      </c>
      <c r="X409" s="12">
        <f t="shared" si="80"/>
        <v>0.70020628008251207</v>
      </c>
      <c r="Y409" s="13">
        <f t="shared" si="81"/>
        <v>3.8679078014184398</v>
      </c>
      <c r="Z409" s="13">
        <f t="shared" si="82"/>
        <v>24.589787630646342</v>
      </c>
      <c r="AA409" s="13">
        <f t="shared" si="83"/>
        <v>1127390180.8785529</v>
      </c>
    </row>
    <row r="410" spans="1:27" x14ac:dyDescent="0.25">
      <c r="A410" s="10" t="s">
        <v>469</v>
      </c>
      <c r="B410" s="11">
        <v>1432000000</v>
      </c>
      <c r="C410" s="11">
        <v>8262000000</v>
      </c>
      <c r="D410" s="11">
        <v>4434000000</v>
      </c>
      <c r="E410" s="11">
        <v>2110000000</v>
      </c>
      <c r="F410" s="11">
        <v>2605000000</v>
      </c>
      <c r="G410" s="11">
        <v>-203000000</v>
      </c>
      <c r="H410" s="11">
        <v>4115500000</v>
      </c>
      <c r="I410" s="11">
        <v>14097000000</v>
      </c>
      <c r="J410" s="11">
        <v>5035000000</v>
      </c>
      <c r="K410" s="11"/>
      <c r="L410" s="11">
        <v>13154350964.969999</v>
      </c>
      <c r="M410" s="11"/>
      <c r="N410" s="11">
        <v>8.16</v>
      </c>
      <c r="O410" s="11">
        <v>175500000</v>
      </c>
      <c r="P410" s="12">
        <f t="shared" si="72"/>
        <v>0.34795286113473456</v>
      </c>
      <c r="Q410" s="12">
        <f t="shared" si="73"/>
        <v>0.10158189685748741</v>
      </c>
      <c r="R410" s="12">
        <f t="shared" si="74"/>
        <v>0.17332365044783346</v>
      </c>
      <c r="S410" s="12">
        <f t="shared" si="75"/>
        <v>0.2553861050593077</v>
      </c>
      <c r="T410" s="12">
        <f t="shared" si="76"/>
        <v>0.53667392883079157</v>
      </c>
      <c r="U410" s="13">
        <f t="shared" si="77"/>
        <v>1.9328214971209212</v>
      </c>
      <c r="V410" s="13">
        <f t="shared" si="78"/>
        <v>6.9824763781074859</v>
      </c>
      <c r="W410" s="12">
        <f t="shared" si="79"/>
        <v>-2.2184580077591387E-2</v>
      </c>
      <c r="X410" s="12">
        <f t="shared" si="80"/>
        <v>0</v>
      </c>
      <c r="Y410" s="13">
        <f t="shared" si="81"/>
        <v>8.1595441595441596</v>
      </c>
      <c r="Z410" s="13">
        <f t="shared" si="82"/>
        <v>9.1859992772136874</v>
      </c>
      <c r="AA410" s="13">
        <f t="shared" si="83"/>
        <v>175490196.07843137</v>
      </c>
    </row>
    <row r="411" spans="1:27" x14ac:dyDescent="0.25">
      <c r="A411" s="10" t="s">
        <v>470</v>
      </c>
      <c r="B411" s="11">
        <v>5454795000</v>
      </c>
      <c r="C411" s="11">
        <v>6648586000</v>
      </c>
      <c r="D411" s="11"/>
      <c r="E411" s="11">
        <v>3209943000</v>
      </c>
      <c r="F411" s="11">
        <v>4767213000</v>
      </c>
      <c r="G411" s="11">
        <v>3230170000</v>
      </c>
      <c r="H411" s="11">
        <v>3732166000</v>
      </c>
      <c r="I411" s="11">
        <v>39639081000</v>
      </c>
      <c r="J411" s="11">
        <v>28247682000</v>
      </c>
      <c r="K411" s="11"/>
      <c r="L411" s="11">
        <v>71249738742.759995</v>
      </c>
      <c r="M411" s="11"/>
      <c r="N411" s="11">
        <v>16.79</v>
      </c>
      <c r="O411" s="11">
        <v>324961423</v>
      </c>
      <c r="P411" s="12">
        <f t="shared" si="72"/>
        <v>1.4615628029407053</v>
      </c>
      <c r="Q411" s="12">
        <f t="shared" si="73"/>
        <v>0.13761154048954868</v>
      </c>
      <c r="R411" s="12">
        <f t="shared" si="74"/>
        <v>0.82044437719539165</v>
      </c>
      <c r="S411" s="12">
        <f t="shared" si="75"/>
        <v>0.4828008541966668</v>
      </c>
      <c r="T411" s="12">
        <f t="shared" si="76"/>
        <v>0</v>
      </c>
      <c r="U411" s="13">
        <f t="shared" si="77"/>
        <v>5.9254079899513616</v>
      </c>
      <c r="V411" s="13">
        <f t="shared" si="78"/>
        <v>20.871192611439849</v>
      </c>
      <c r="W411" s="12">
        <f t="shared" si="79"/>
        <v>0.10100642129380978</v>
      </c>
      <c r="X411" s="12">
        <f t="shared" si="80"/>
        <v>0</v>
      </c>
      <c r="Y411" s="13">
        <f t="shared" si="81"/>
        <v>16.785977085040031</v>
      </c>
      <c r="Z411" s="13">
        <f t="shared" si="82"/>
        <v>13.061854522994905</v>
      </c>
      <c r="AA411" s="13">
        <f t="shared" si="83"/>
        <v>324883561.6438356</v>
      </c>
    </row>
    <row r="412" spans="1:27" x14ac:dyDescent="0.25">
      <c r="A412" s="10" t="s">
        <v>471</v>
      </c>
      <c r="B412" s="11">
        <v>4776000000</v>
      </c>
      <c r="C412" s="11">
        <v>15730000000</v>
      </c>
      <c r="D412" s="11"/>
      <c r="E412" s="11">
        <v>6902000000</v>
      </c>
      <c r="F412" s="11">
        <v>8081000000</v>
      </c>
      <c r="G412" s="11">
        <v>5556000000</v>
      </c>
      <c r="H412" s="11">
        <v>32272000000</v>
      </c>
      <c r="I412" s="11">
        <v>60792000000</v>
      </c>
      <c r="J412" s="11">
        <v>13318000000</v>
      </c>
      <c r="K412" s="11"/>
      <c r="L412" s="11">
        <v>128156157470.7</v>
      </c>
      <c r="M412" s="11">
        <v>1163000000</v>
      </c>
      <c r="N412" s="11">
        <v>16.05</v>
      </c>
      <c r="O412" s="11">
        <v>297600000</v>
      </c>
      <c r="P412" s="12">
        <f t="shared" si="72"/>
        <v>0.1479920674268716</v>
      </c>
      <c r="Q412" s="12">
        <f t="shared" si="73"/>
        <v>7.8562968811685743E-2</v>
      </c>
      <c r="R412" s="12">
        <f t="shared" si="74"/>
        <v>0.30362364907819456</v>
      </c>
      <c r="S412" s="12">
        <f t="shared" si="75"/>
        <v>0.43877940241576607</v>
      </c>
      <c r="T412" s="12">
        <f t="shared" si="76"/>
        <v>0</v>
      </c>
      <c r="U412" s="13">
        <f t="shared" si="77"/>
        <v>1.6480633584952358</v>
      </c>
      <c r="V412" s="13">
        <f t="shared" si="78"/>
        <v>17.507011195483233</v>
      </c>
      <c r="W412" s="12">
        <f t="shared" si="79"/>
        <v>0.12186883088396579</v>
      </c>
      <c r="X412" s="12">
        <f t="shared" si="80"/>
        <v>0.24350921273031825</v>
      </c>
      <c r="Y412" s="13">
        <f t="shared" si="81"/>
        <v>16.048387096774192</v>
      </c>
      <c r="Z412" s="13">
        <f t="shared" si="82"/>
        <v>26.833366304585425</v>
      </c>
      <c r="AA412" s="13">
        <f t="shared" si="83"/>
        <v>297570093.45794392</v>
      </c>
    </row>
    <row r="413" spans="1:27" x14ac:dyDescent="0.25">
      <c r="A413" s="10" t="s">
        <v>472</v>
      </c>
      <c r="B413" s="11">
        <v>1957000000</v>
      </c>
      <c r="C413" s="11">
        <v>13702000000</v>
      </c>
      <c r="D413" s="11"/>
      <c r="E413" s="11"/>
      <c r="F413" s="11"/>
      <c r="G413" s="11"/>
      <c r="H413" s="11">
        <v>31941000000</v>
      </c>
      <c r="I413" s="11">
        <v>113518000000</v>
      </c>
      <c r="J413" s="11"/>
      <c r="K413" s="11"/>
      <c r="L413" s="11">
        <v>61853796078.080002</v>
      </c>
      <c r="M413" s="11">
        <v>1632000000</v>
      </c>
      <c r="N413" s="11">
        <v>2.99</v>
      </c>
      <c r="O413" s="11">
        <v>655488000</v>
      </c>
      <c r="P413" s="12">
        <f t="shared" si="72"/>
        <v>6.1269215115368959E-2</v>
      </c>
      <c r="Q413" s="12">
        <f t="shared" si="73"/>
        <v>1.7239556722281928E-2</v>
      </c>
      <c r="R413" s="12">
        <f t="shared" si="74"/>
        <v>0.14282586483725004</v>
      </c>
      <c r="S413" s="12">
        <f t="shared" si="75"/>
        <v>0</v>
      </c>
      <c r="T413" s="12">
        <f t="shared" si="76"/>
        <v>0</v>
      </c>
      <c r="U413" s="13" t="str">
        <f t="shared" si="77"/>
        <v/>
      </c>
      <c r="V413" s="13" t="str">
        <f t="shared" si="78"/>
        <v/>
      </c>
      <c r="W413" s="12">
        <f t="shared" si="79"/>
        <v>0</v>
      </c>
      <c r="X413" s="12">
        <f t="shared" si="80"/>
        <v>0.83392948390393462</v>
      </c>
      <c r="Y413" s="13">
        <f t="shared" si="81"/>
        <v>2.9855619019722712</v>
      </c>
      <c r="Z413" s="13">
        <f t="shared" si="82"/>
        <v>31.606436422115483</v>
      </c>
      <c r="AA413" s="13">
        <f t="shared" si="83"/>
        <v>654515050.16722405</v>
      </c>
    </row>
    <row r="414" spans="1:27" x14ac:dyDescent="0.25">
      <c r="A414" s="10" t="s">
        <v>473</v>
      </c>
      <c r="B414" s="11">
        <v>782300000</v>
      </c>
      <c r="C414" s="11">
        <v>5935900000</v>
      </c>
      <c r="D414" s="11">
        <v>2626500000</v>
      </c>
      <c r="E414" s="11">
        <v>1101800000</v>
      </c>
      <c r="F414" s="11">
        <v>1588300000</v>
      </c>
      <c r="G414" s="11">
        <v>972400000</v>
      </c>
      <c r="H414" s="11">
        <v>6893500000</v>
      </c>
      <c r="I414" s="11">
        <v>10737200000</v>
      </c>
      <c r="J414" s="11">
        <v>1812800000</v>
      </c>
      <c r="K414" s="11"/>
      <c r="L414" s="11">
        <v>21050858880</v>
      </c>
      <c r="M414" s="11">
        <v>241800000</v>
      </c>
      <c r="N414" s="11">
        <v>7.93</v>
      </c>
      <c r="O414" s="11">
        <v>98700000</v>
      </c>
      <c r="P414" s="12">
        <f t="shared" si="72"/>
        <v>0.11348371654457097</v>
      </c>
      <c r="Q414" s="12">
        <f t="shared" si="73"/>
        <v>7.2858845881607862E-2</v>
      </c>
      <c r="R414" s="12">
        <f t="shared" si="74"/>
        <v>0.13179130376185583</v>
      </c>
      <c r="S414" s="12">
        <f t="shared" si="75"/>
        <v>0.18561633450698292</v>
      </c>
      <c r="T414" s="12">
        <f t="shared" si="76"/>
        <v>0.44247713067942518</v>
      </c>
      <c r="U414" s="13">
        <f t="shared" si="77"/>
        <v>1.1413460933073096</v>
      </c>
      <c r="V414" s="13">
        <f t="shared" si="78"/>
        <v>14.395050607567839</v>
      </c>
      <c r="W414" s="12">
        <f t="shared" si="79"/>
        <v>0.11168923652986917</v>
      </c>
      <c r="X414" s="12">
        <f t="shared" si="80"/>
        <v>0.30908858494183816</v>
      </c>
      <c r="Y414" s="13">
        <f t="shared" si="81"/>
        <v>7.9260385005065856</v>
      </c>
      <c r="Z414" s="13">
        <f t="shared" si="82"/>
        <v>26.908933759427331</v>
      </c>
      <c r="AA414" s="13">
        <f t="shared" si="83"/>
        <v>98650693.568726361</v>
      </c>
    </row>
    <row r="415" spans="1:27" x14ac:dyDescent="0.25">
      <c r="A415" s="10" t="s">
        <v>474</v>
      </c>
      <c r="B415" s="11">
        <v>1371880000</v>
      </c>
      <c r="C415" s="11">
        <v>19388180000</v>
      </c>
      <c r="D415" s="11">
        <v>2668862000</v>
      </c>
      <c r="E415" s="11">
        <v>1738846000</v>
      </c>
      <c r="F415" s="11">
        <v>2315760000</v>
      </c>
      <c r="G415" s="11">
        <v>664749000</v>
      </c>
      <c r="H415" s="11">
        <v>8994784000</v>
      </c>
      <c r="I415" s="11">
        <v>16720219000</v>
      </c>
      <c r="J415" s="11">
        <v>4200000000</v>
      </c>
      <c r="K415" s="11"/>
      <c r="L415" s="11">
        <v>32023889796.779999</v>
      </c>
      <c r="M415" s="11">
        <v>294132000</v>
      </c>
      <c r="N415" s="11">
        <v>9.44</v>
      </c>
      <c r="O415" s="11">
        <v>145321000</v>
      </c>
      <c r="P415" s="12">
        <f t="shared" si="72"/>
        <v>0.15251950463735428</v>
      </c>
      <c r="Q415" s="12">
        <f t="shared" si="73"/>
        <v>8.2049164547426084E-2</v>
      </c>
      <c r="R415" s="12">
        <f t="shared" si="74"/>
        <v>7.0758575585743486E-2</v>
      </c>
      <c r="S415" s="12">
        <f t="shared" si="75"/>
        <v>8.9685880778907559E-2</v>
      </c>
      <c r="T415" s="12">
        <f t="shared" si="76"/>
        <v>0.13765407583383277</v>
      </c>
      <c r="U415" s="13">
        <f t="shared" si="77"/>
        <v>1.8136594465747746</v>
      </c>
      <c r="V415" s="13">
        <f t="shared" si="78"/>
        <v>15.642333314669914</v>
      </c>
      <c r="W415" s="12">
        <f t="shared" si="79"/>
        <v>5.0379680334289668E-2</v>
      </c>
      <c r="X415" s="12">
        <f t="shared" si="80"/>
        <v>0.21440067644400385</v>
      </c>
      <c r="Y415" s="13">
        <f t="shared" si="81"/>
        <v>9.4403424143792023</v>
      </c>
      <c r="Z415" s="13">
        <f t="shared" si="82"/>
        <v>23.343069216534975</v>
      </c>
      <c r="AA415" s="13">
        <f t="shared" si="83"/>
        <v>145326271.18644068</v>
      </c>
    </row>
    <row r="416" spans="1:27" x14ac:dyDescent="0.25">
      <c r="A416" s="10" t="s">
        <v>475</v>
      </c>
      <c r="B416" s="11">
        <v>3065000000</v>
      </c>
      <c r="C416" s="11">
        <v>14456000000</v>
      </c>
      <c r="D416" s="11"/>
      <c r="E416" s="11"/>
      <c r="F416" s="11"/>
      <c r="G416" s="11">
        <v>-3740000000</v>
      </c>
      <c r="H416" s="11">
        <v>27217000000</v>
      </c>
      <c r="I416" s="11">
        <v>392165000000</v>
      </c>
      <c r="J416" s="11"/>
      <c r="K416" s="11"/>
      <c r="L416" s="11">
        <v>49862349678.830002</v>
      </c>
      <c r="M416" s="11">
        <v>1147000000</v>
      </c>
      <c r="N416" s="11">
        <v>10.84</v>
      </c>
      <c r="O416" s="11">
        <v>282874000</v>
      </c>
      <c r="P416" s="12">
        <f t="shared" si="72"/>
        <v>0.11261344012933093</v>
      </c>
      <c r="Q416" s="12">
        <f t="shared" si="73"/>
        <v>7.8155878265525995E-3</v>
      </c>
      <c r="R416" s="12">
        <f t="shared" si="74"/>
        <v>0.21202268954067516</v>
      </c>
      <c r="S416" s="12">
        <f t="shared" si="75"/>
        <v>0</v>
      </c>
      <c r="T416" s="12">
        <f t="shared" si="76"/>
        <v>0</v>
      </c>
      <c r="U416" s="13" t="str">
        <f t="shared" si="77"/>
        <v/>
      </c>
      <c r="V416" s="13" t="str">
        <f t="shared" si="78"/>
        <v/>
      </c>
      <c r="W416" s="12">
        <f t="shared" si="79"/>
        <v>-0.13741411617738913</v>
      </c>
      <c r="X416" s="12">
        <f t="shared" si="80"/>
        <v>0.37422512234910277</v>
      </c>
      <c r="Y416" s="13">
        <f t="shared" si="81"/>
        <v>10.835212850951306</v>
      </c>
      <c r="Z416" s="13">
        <f t="shared" si="82"/>
        <v>16.268303320988583</v>
      </c>
      <c r="AA416" s="13">
        <f t="shared" si="83"/>
        <v>282749077.49077493</v>
      </c>
    </row>
    <row r="417" spans="1:27" x14ac:dyDescent="0.25">
      <c r="A417" s="10" t="s">
        <v>476</v>
      </c>
      <c r="B417" s="11">
        <v>2378000000</v>
      </c>
      <c r="C417" s="11">
        <v>7384000000</v>
      </c>
      <c r="D417" s="11"/>
      <c r="E417" s="11">
        <v>3103000000</v>
      </c>
      <c r="F417" s="11">
        <v>3370000000</v>
      </c>
      <c r="G417" s="11">
        <v>2412000000</v>
      </c>
      <c r="H417" s="11">
        <v>133000000</v>
      </c>
      <c r="I417" s="11">
        <v>8892000000</v>
      </c>
      <c r="J417" s="11">
        <v>964000000</v>
      </c>
      <c r="K417" s="11"/>
      <c r="L417" s="11">
        <v>201384752006.54999</v>
      </c>
      <c r="M417" s="11">
        <v>621000000</v>
      </c>
      <c r="N417" s="11">
        <v>10.43</v>
      </c>
      <c r="O417" s="11">
        <v>228000000</v>
      </c>
      <c r="P417" s="12">
        <f t="shared" si="72"/>
        <v>17.8796992481203</v>
      </c>
      <c r="Q417" s="12">
        <f t="shared" si="73"/>
        <v>0.2674313990103464</v>
      </c>
      <c r="R417" s="12">
        <f t="shared" si="74"/>
        <v>0.32204767063921991</v>
      </c>
      <c r="S417" s="12">
        <f t="shared" si="75"/>
        <v>0.42023293607800649</v>
      </c>
      <c r="T417" s="12">
        <f t="shared" si="76"/>
        <v>0</v>
      </c>
      <c r="U417" s="13">
        <f t="shared" si="77"/>
        <v>0.286053412462908</v>
      </c>
      <c r="V417" s="13">
        <f t="shared" si="78"/>
        <v>60.044140061290797</v>
      </c>
      <c r="W417" s="12">
        <f t="shared" si="79"/>
        <v>2.1987237921604375</v>
      </c>
      <c r="X417" s="12">
        <f t="shared" si="80"/>
        <v>0.26114381833473505</v>
      </c>
      <c r="Y417" s="13">
        <f t="shared" si="81"/>
        <v>10.429824561403509</v>
      </c>
      <c r="Z417" s="13">
        <f t="shared" si="82"/>
        <v>84.686607235723287</v>
      </c>
      <c r="AA417" s="13">
        <f t="shared" si="83"/>
        <v>227996164.90891659</v>
      </c>
    </row>
    <row r="418" spans="1:27" x14ac:dyDescent="0.25">
      <c r="A418" s="10" t="s">
        <v>477</v>
      </c>
      <c r="B418" s="11">
        <v>1824400000</v>
      </c>
      <c r="C418" s="11">
        <v>9056700000</v>
      </c>
      <c r="D418" s="11">
        <v>4765500000</v>
      </c>
      <c r="E418" s="11">
        <v>2852900000</v>
      </c>
      <c r="F418" s="11">
        <v>3265300000</v>
      </c>
      <c r="G418" s="11">
        <v>1834200000</v>
      </c>
      <c r="H418" s="11">
        <v>7760550000</v>
      </c>
      <c r="I418" s="11">
        <v>22108700000</v>
      </c>
      <c r="J418" s="11">
        <v>10197500000</v>
      </c>
      <c r="K418" s="11"/>
      <c r="L418" s="11">
        <v>22617896215.900002</v>
      </c>
      <c r="M418" s="11">
        <v>712200000</v>
      </c>
      <c r="N418" s="11"/>
      <c r="O418" s="11"/>
      <c r="P418" s="12">
        <f t="shared" si="72"/>
        <v>0.23508643072978075</v>
      </c>
      <c r="Q418" s="12">
        <f t="shared" si="73"/>
        <v>8.2519551126931934E-2</v>
      </c>
      <c r="R418" s="12">
        <f t="shared" si="74"/>
        <v>0.20144202634513675</v>
      </c>
      <c r="S418" s="12">
        <f t="shared" si="75"/>
        <v>0.31500436141199334</v>
      </c>
      <c r="T418" s="12">
        <f t="shared" si="76"/>
        <v>0.52618503428401076</v>
      </c>
      <c r="U418" s="13">
        <f t="shared" si="77"/>
        <v>3.1229902306066823</v>
      </c>
      <c r="V418" s="13">
        <f t="shared" si="78"/>
        <v>10.049733934370503</v>
      </c>
      <c r="W418" s="12">
        <f t="shared" si="79"/>
        <v>0.1021380383727632</v>
      </c>
      <c r="X418" s="12">
        <f t="shared" si="80"/>
        <v>0.39037491778118832</v>
      </c>
      <c r="Y418" s="13" t="str">
        <f t="shared" si="81"/>
        <v/>
      </c>
      <c r="Z418" s="13">
        <f t="shared" si="82"/>
        <v>12.397443661422935</v>
      </c>
      <c r="AA418" s="13" t="str">
        <f t="shared" si="83"/>
        <v/>
      </c>
    </row>
    <row r="419" spans="1:27" x14ac:dyDescent="0.25">
      <c r="A419" s="10" t="s">
        <v>478</v>
      </c>
      <c r="B419" s="11">
        <v>380000000</v>
      </c>
      <c r="C419" s="11">
        <v>31235000000</v>
      </c>
      <c r="D419" s="11">
        <v>5734000000</v>
      </c>
      <c r="E419" s="11">
        <v>1419000000</v>
      </c>
      <c r="F419" s="11">
        <v>4094000000</v>
      </c>
      <c r="G419" s="11">
        <v>1022000000</v>
      </c>
      <c r="H419" s="11">
        <v>17961000000</v>
      </c>
      <c r="I419" s="11">
        <v>45170000000</v>
      </c>
      <c r="J419" s="11">
        <v>13223000000</v>
      </c>
      <c r="K419" s="11"/>
      <c r="L419" s="11">
        <v>22546711593.52</v>
      </c>
      <c r="M419" s="11">
        <v>912000000</v>
      </c>
      <c r="N419" s="11">
        <v>0.72</v>
      </c>
      <c r="O419" s="11">
        <v>526000000</v>
      </c>
      <c r="P419" s="12">
        <f t="shared" si="72"/>
        <v>2.1156951171983743E-2</v>
      </c>
      <c r="Q419" s="12">
        <f t="shared" si="73"/>
        <v>8.4126632720832404E-3</v>
      </c>
      <c r="R419" s="12">
        <f t="shared" si="74"/>
        <v>1.2165839603009444E-2</v>
      </c>
      <c r="S419" s="12">
        <f t="shared" si="75"/>
        <v>4.5429806307027372E-2</v>
      </c>
      <c r="T419" s="12">
        <f t="shared" si="76"/>
        <v>0.18357611653593725</v>
      </c>
      <c r="U419" s="13">
        <f t="shared" si="77"/>
        <v>3.2298485588666339</v>
      </c>
      <c r="V419" s="13">
        <f t="shared" si="78"/>
        <v>8.7371059095065959</v>
      </c>
      <c r="W419" s="12">
        <f t="shared" si="79"/>
        <v>3.2773217034376606E-2</v>
      </c>
      <c r="X419" s="12">
        <f t="shared" si="80"/>
        <v>2.4</v>
      </c>
      <c r="Y419" s="13">
        <f t="shared" si="81"/>
        <v>0.72243346007604559</v>
      </c>
      <c r="Z419" s="13">
        <f t="shared" si="82"/>
        <v>59.333451561894741</v>
      </c>
      <c r="AA419" s="13">
        <f t="shared" si="83"/>
        <v>527777777.77777779</v>
      </c>
    </row>
    <row r="420" spans="1:27" x14ac:dyDescent="0.25">
      <c r="A420" s="10" t="s">
        <v>479</v>
      </c>
      <c r="B420" s="11">
        <v>371100000</v>
      </c>
      <c r="C420" s="11">
        <v>15232200000</v>
      </c>
      <c r="D420" s="11">
        <v>4284100000</v>
      </c>
      <c r="E420" s="11">
        <v>2746000000</v>
      </c>
      <c r="F420" s="11">
        <v>3104900000</v>
      </c>
      <c r="G420" s="11">
        <v>725600000</v>
      </c>
      <c r="H420" s="11">
        <v>8909150000</v>
      </c>
      <c r="I420" s="11">
        <v>21599800000</v>
      </c>
      <c r="J420" s="11">
        <v>4758200000</v>
      </c>
      <c r="K420" s="11"/>
      <c r="L420" s="11">
        <v>13496652019.040001</v>
      </c>
      <c r="M420" s="11">
        <v>502100000</v>
      </c>
      <c r="N420" s="11">
        <v>2.44</v>
      </c>
      <c r="O420" s="11">
        <v>152389000</v>
      </c>
      <c r="P420" s="12">
        <f t="shared" si="72"/>
        <v>4.1653805357413448E-2</v>
      </c>
      <c r="Q420" s="12">
        <f t="shared" si="73"/>
        <v>1.7180714636246631E-2</v>
      </c>
      <c r="R420" s="12">
        <f t="shared" si="74"/>
        <v>2.4362862882577697E-2</v>
      </c>
      <c r="S420" s="12">
        <f t="shared" si="75"/>
        <v>0.18027599427528526</v>
      </c>
      <c r="T420" s="12">
        <f t="shared" si="76"/>
        <v>0.28125287220493428</v>
      </c>
      <c r="U420" s="13">
        <f t="shared" si="77"/>
        <v>1.5324809172598151</v>
      </c>
      <c r="V420" s="13">
        <f t="shared" si="78"/>
        <v>5.8793687458662118</v>
      </c>
      <c r="W420" s="12">
        <f t="shared" si="79"/>
        <v>5.3090028425407998E-2</v>
      </c>
      <c r="X420" s="12">
        <f t="shared" si="80"/>
        <v>1.3530045809754783</v>
      </c>
      <c r="Y420" s="13">
        <f t="shared" si="81"/>
        <v>2.4352151402004081</v>
      </c>
      <c r="Z420" s="13">
        <f t="shared" si="82"/>
        <v>36.369312904985179</v>
      </c>
      <c r="AA420" s="13">
        <f t="shared" si="83"/>
        <v>152090163.93442622</v>
      </c>
    </row>
    <row r="421" spans="1:27" x14ac:dyDescent="0.25">
      <c r="A421" s="10" t="s">
        <v>480</v>
      </c>
      <c r="B421" s="11">
        <v>361200000</v>
      </c>
      <c r="C421" s="11">
        <v>4044300000</v>
      </c>
      <c r="D421" s="11">
        <v>1661200000</v>
      </c>
      <c r="E421" s="11">
        <v>367500000</v>
      </c>
      <c r="F421" s="11">
        <v>652300000</v>
      </c>
      <c r="G421" s="11">
        <v>703600000</v>
      </c>
      <c r="H421" s="11">
        <v>5853000000</v>
      </c>
      <c r="I421" s="11">
        <v>7896000000</v>
      </c>
      <c r="J421" s="11">
        <v>496700000</v>
      </c>
      <c r="K421" s="11"/>
      <c r="L421" s="11">
        <v>9016837596.6000004</v>
      </c>
      <c r="M421" s="11">
        <v>422700000</v>
      </c>
      <c r="N421" s="11">
        <v>2.4</v>
      </c>
      <c r="O421" s="11">
        <v>150500000</v>
      </c>
      <c r="P421" s="12">
        <f t="shared" si="72"/>
        <v>6.171194259354177E-2</v>
      </c>
      <c r="Q421" s="12">
        <f t="shared" si="73"/>
        <v>4.5744680851063826E-2</v>
      </c>
      <c r="R421" s="12">
        <f t="shared" si="74"/>
        <v>8.9310881982048812E-2</v>
      </c>
      <c r="S421" s="12">
        <f t="shared" si="75"/>
        <v>9.0868629923596178E-2</v>
      </c>
      <c r="T421" s="12">
        <f t="shared" si="76"/>
        <v>0.41075093341245705</v>
      </c>
      <c r="U421" s="13">
        <f t="shared" si="77"/>
        <v>0.76145945117277325</v>
      </c>
      <c r="V421" s="13">
        <f t="shared" si="78"/>
        <v>14.584604624559253</v>
      </c>
      <c r="W421" s="12">
        <f t="shared" si="79"/>
        <v>0.11080838464809362</v>
      </c>
      <c r="X421" s="12">
        <f t="shared" si="80"/>
        <v>1.1702657807308969</v>
      </c>
      <c r="Y421" s="13">
        <f t="shared" si="81"/>
        <v>2.4</v>
      </c>
      <c r="Z421" s="13">
        <f t="shared" si="82"/>
        <v>24.963559237541528</v>
      </c>
      <c r="AA421" s="13">
        <f t="shared" si="83"/>
        <v>150500000</v>
      </c>
    </row>
    <row r="422" spans="1:27" x14ac:dyDescent="0.25">
      <c r="A422" s="10" t="s">
        <v>481</v>
      </c>
      <c r="B422" s="11">
        <v>3600000000</v>
      </c>
      <c r="C422" s="11"/>
      <c r="D422" s="11"/>
      <c r="E422" s="11"/>
      <c r="F422" s="11"/>
      <c r="G422" s="11"/>
      <c r="H422" s="11">
        <v>16529000000</v>
      </c>
      <c r="I422" s="11">
        <v>121501000000</v>
      </c>
      <c r="J422" s="11">
        <v>16428000000</v>
      </c>
      <c r="K422" s="11"/>
      <c r="L422" s="11">
        <v>24074018117.290001</v>
      </c>
      <c r="M422" s="11">
        <v>434000000</v>
      </c>
      <c r="N422" s="11">
        <v>10.4</v>
      </c>
      <c r="O422" s="11">
        <v>346000000</v>
      </c>
      <c r="P422" s="12">
        <f t="shared" si="72"/>
        <v>0.21779901990441042</v>
      </c>
      <c r="Q422" s="12">
        <f t="shared" si="73"/>
        <v>2.9629385766372293E-2</v>
      </c>
      <c r="R422" s="12" t="str">
        <f t="shared" si="74"/>
        <v/>
      </c>
      <c r="S422" s="12" t="str">
        <f t="shared" si="75"/>
        <v/>
      </c>
      <c r="T422" s="12" t="str">
        <f t="shared" si="76"/>
        <v/>
      </c>
      <c r="U422" s="13" t="str">
        <f t="shared" si="77"/>
        <v/>
      </c>
      <c r="V422" s="13" t="str">
        <f t="shared" si="78"/>
        <v/>
      </c>
      <c r="W422" s="12">
        <f t="shared" si="79"/>
        <v>0</v>
      </c>
      <c r="X422" s="12">
        <f t="shared" si="80"/>
        <v>0.12055555555555555</v>
      </c>
      <c r="Y422" s="13">
        <f t="shared" si="81"/>
        <v>10.404624277456648</v>
      </c>
      <c r="Z422" s="13">
        <f t="shared" si="82"/>
        <v>6.687227254802778</v>
      </c>
      <c r="AA422" s="13">
        <f t="shared" si="83"/>
        <v>346153846.15384614</v>
      </c>
    </row>
    <row r="423" spans="1:27" x14ac:dyDescent="0.25">
      <c r="A423" s="10" t="s">
        <v>482</v>
      </c>
      <c r="B423" s="11">
        <v>3337000000</v>
      </c>
      <c r="C423" s="11">
        <v>25270000000</v>
      </c>
      <c r="D423" s="11">
        <v>16131000000</v>
      </c>
      <c r="E423" s="11">
        <v>4988000000</v>
      </c>
      <c r="F423" s="11">
        <v>6594000000</v>
      </c>
      <c r="G423" s="11">
        <v>4571000000</v>
      </c>
      <c r="H423" s="11"/>
      <c r="I423" s="11">
        <v>46291000000</v>
      </c>
      <c r="J423" s="11">
        <v>14224000000</v>
      </c>
      <c r="K423" s="11"/>
      <c r="L423" s="11">
        <v>125401133242.17999</v>
      </c>
      <c r="M423" s="11">
        <v>1301000000</v>
      </c>
      <c r="N423" s="11">
        <v>8.6300000000000008</v>
      </c>
      <c r="O423" s="11">
        <v>386500000</v>
      </c>
      <c r="P423" s="12" t="str">
        <f t="shared" si="72"/>
        <v/>
      </c>
      <c r="Q423" s="12">
        <f t="shared" si="73"/>
        <v>7.2087446803914365E-2</v>
      </c>
      <c r="R423" s="12">
        <f t="shared" si="74"/>
        <v>0.13205381875741987</v>
      </c>
      <c r="S423" s="12">
        <f t="shared" si="75"/>
        <v>0.19738820736050652</v>
      </c>
      <c r="T423" s="12">
        <f t="shared" si="76"/>
        <v>0.63834586466165411</v>
      </c>
      <c r="U423" s="13">
        <f t="shared" si="77"/>
        <v>2.1571125265392781</v>
      </c>
      <c r="V423" s="13">
        <f t="shared" si="78"/>
        <v>21.174572830175915</v>
      </c>
      <c r="W423" s="12">
        <f t="shared" si="79"/>
        <v>0.32135826771653542</v>
      </c>
      <c r="X423" s="12">
        <f t="shared" si="80"/>
        <v>0.3898711417440815</v>
      </c>
      <c r="Y423" s="13">
        <f t="shared" si="81"/>
        <v>8.6338939197930138</v>
      </c>
      <c r="Z423" s="13">
        <f t="shared" si="82"/>
        <v>37.579003069277789</v>
      </c>
      <c r="AA423" s="13">
        <f t="shared" si="83"/>
        <v>386674391.65701038</v>
      </c>
    </row>
    <row r="424" spans="1:27" x14ac:dyDescent="0.25">
      <c r="A424" s="10" t="s">
        <v>483</v>
      </c>
      <c r="B424" s="11">
        <v>1737000000</v>
      </c>
      <c r="C424" s="11">
        <v>83567000000</v>
      </c>
      <c r="D424" s="11">
        <v>15491000000</v>
      </c>
      <c r="E424" s="11">
        <v>3000000000</v>
      </c>
      <c r="F424" s="11">
        <v>3960000000</v>
      </c>
      <c r="G424" s="11">
        <v>1821000000</v>
      </c>
      <c r="H424" s="11">
        <v>2109500000</v>
      </c>
      <c r="I424" s="11">
        <v>27983000000</v>
      </c>
      <c r="J424" s="11">
        <v>10588184000</v>
      </c>
      <c r="K424" s="11"/>
      <c r="L424" s="11">
        <v>39225318750.519997</v>
      </c>
      <c r="M424" s="11">
        <v>1026000000</v>
      </c>
      <c r="N424" s="11">
        <v>3.61</v>
      </c>
      <c r="O424" s="11">
        <v>480738926</v>
      </c>
      <c r="P424" s="12">
        <f t="shared" si="72"/>
        <v>0.82341787153353874</v>
      </c>
      <c r="Q424" s="12">
        <f t="shared" si="73"/>
        <v>6.2073401708179966E-2</v>
      </c>
      <c r="R424" s="12">
        <f t="shared" si="74"/>
        <v>2.0785716849952732E-2</v>
      </c>
      <c r="S424" s="12">
        <f t="shared" si="75"/>
        <v>3.5899338255531488E-2</v>
      </c>
      <c r="T424" s="12">
        <f t="shared" si="76"/>
        <v>0.18537221630547943</v>
      </c>
      <c r="U424" s="13">
        <f t="shared" si="77"/>
        <v>2.6737838383838386</v>
      </c>
      <c r="V424" s="13">
        <f t="shared" si="78"/>
        <v>12.579167361242423</v>
      </c>
      <c r="W424" s="12">
        <f t="shared" si="79"/>
        <v>0.14341197969645489</v>
      </c>
      <c r="X424" s="12">
        <f t="shared" si="80"/>
        <v>0.59067357512953367</v>
      </c>
      <c r="Y424" s="13">
        <f t="shared" si="81"/>
        <v>3.6131877533877921</v>
      </c>
      <c r="Z424" s="13">
        <f t="shared" si="82"/>
        <v>22.582221502890039</v>
      </c>
      <c r="AA424" s="13">
        <f t="shared" si="83"/>
        <v>481163434.90304708</v>
      </c>
    </row>
    <row r="425" spans="1:27" x14ac:dyDescent="0.25">
      <c r="A425" s="10" t="s">
        <v>484</v>
      </c>
      <c r="B425" s="11">
        <v>21431000000</v>
      </c>
      <c r="C425" s="11">
        <v>126528000000</v>
      </c>
      <c r="D425" s="11"/>
      <c r="E425" s="11">
        <v>25066000000</v>
      </c>
      <c r="F425" s="11">
        <v>45728000000</v>
      </c>
      <c r="G425" s="11">
        <v>18842000000</v>
      </c>
      <c r="H425" s="11"/>
      <c r="I425" s="11">
        <v>421188000000</v>
      </c>
      <c r="J425" s="11">
        <v>134718000000</v>
      </c>
      <c r="K425" s="11"/>
      <c r="L425" s="11">
        <v>146193055449.79001</v>
      </c>
      <c r="M425" s="11">
        <v>8086000000</v>
      </c>
      <c r="N425" s="11">
        <v>3.05</v>
      </c>
      <c r="O425" s="11">
        <v>7027000000</v>
      </c>
      <c r="P425" s="12" t="str">
        <f t="shared" si="72"/>
        <v/>
      </c>
      <c r="Q425" s="12">
        <f t="shared" si="73"/>
        <v>5.0882266351368034E-2</v>
      </c>
      <c r="R425" s="12">
        <f t="shared" si="74"/>
        <v>0.16937752908447143</v>
      </c>
      <c r="S425" s="12">
        <f t="shared" si="75"/>
        <v>0.19810634800202326</v>
      </c>
      <c r="T425" s="12">
        <f t="shared" si="76"/>
        <v>0</v>
      </c>
      <c r="U425" s="13">
        <f t="shared" si="77"/>
        <v>2.9460724282715187</v>
      </c>
      <c r="V425" s="13">
        <f t="shared" si="78"/>
        <v>6.1430864120405451</v>
      </c>
      <c r="W425" s="12">
        <f t="shared" si="79"/>
        <v>0.13986252765035109</v>
      </c>
      <c r="X425" s="12">
        <f t="shared" si="80"/>
        <v>0.37730390555737015</v>
      </c>
      <c r="Y425" s="13">
        <f t="shared" si="81"/>
        <v>3.0498078838764764</v>
      </c>
      <c r="Z425" s="13">
        <f t="shared" si="82"/>
        <v>6.821569476449536</v>
      </c>
      <c r="AA425" s="13">
        <f t="shared" si="83"/>
        <v>7026557377.049181</v>
      </c>
    </row>
    <row r="426" spans="1:27" x14ac:dyDescent="0.25">
      <c r="A426" s="10" t="s">
        <v>485</v>
      </c>
      <c r="B426" s="11">
        <v>-2139600000</v>
      </c>
      <c r="C426" s="11">
        <v>11723800000</v>
      </c>
      <c r="D426" s="11">
        <v>4274600000</v>
      </c>
      <c r="E426" s="11">
        <v>-2336900000</v>
      </c>
      <c r="F426" s="11">
        <v>-1625600000</v>
      </c>
      <c r="G426" s="11">
        <v>1067800000</v>
      </c>
      <c r="H426" s="11">
        <v>11661350000</v>
      </c>
      <c r="I426" s="11">
        <v>22738400000</v>
      </c>
      <c r="J426" s="11">
        <v>6260100000</v>
      </c>
      <c r="K426" s="11"/>
      <c r="L426" s="11">
        <v>7265740001.1999998</v>
      </c>
      <c r="M426" s="11"/>
      <c r="N426" s="11">
        <v>-10.75</v>
      </c>
      <c r="O426" s="11">
        <v>199100000</v>
      </c>
      <c r="P426" s="12">
        <f t="shared" si="72"/>
        <v>-0.1834778992140704</v>
      </c>
      <c r="Q426" s="12">
        <f t="shared" si="73"/>
        <v>-9.4096330436618233E-2</v>
      </c>
      <c r="R426" s="12">
        <f t="shared" si="74"/>
        <v>-0.18250055442774527</v>
      </c>
      <c r="S426" s="12">
        <f t="shared" si="75"/>
        <v>-0.1993295689111039</v>
      </c>
      <c r="T426" s="12">
        <f t="shared" si="76"/>
        <v>0.36460874460499154</v>
      </c>
      <c r="U426" s="13">
        <f t="shared" si="77"/>
        <v>-3.8509473425196852</v>
      </c>
      <c r="V426" s="13">
        <f t="shared" si="78"/>
        <v>-8.3205216542814959</v>
      </c>
      <c r="W426" s="12">
        <f t="shared" si="79"/>
        <v>5.9582232464449027E-2</v>
      </c>
      <c r="X426" s="12">
        <f t="shared" si="80"/>
        <v>0</v>
      </c>
      <c r="Y426" s="13">
        <f t="shared" si="81"/>
        <v>-10.746358613761929</v>
      </c>
      <c r="Z426" s="13">
        <f t="shared" si="82"/>
        <v>-3.3958403445503831</v>
      </c>
      <c r="AA426" s="13">
        <f t="shared" si="83"/>
        <v>199032558.13953489</v>
      </c>
    </row>
    <row r="427" spans="1:27" x14ac:dyDescent="0.25">
      <c r="A427" s="10" t="s">
        <v>486</v>
      </c>
      <c r="B427" s="11">
        <v>2082000000</v>
      </c>
      <c r="C427" s="11">
        <v>9503000000</v>
      </c>
      <c r="D427" s="11">
        <v>5665000000</v>
      </c>
      <c r="E427" s="11">
        <v>4420000000</v>
      </c>
      <c r="F427" s="11">
        <v>4813000000</v>
      </c>
      <c r="G427" s="11">
        <v>1850000000</v>
      </c>
      <c r="H427" s="11">
        <v>-7536500000</v>
      </c>
      <c r="I427" s="11">
        <v>25442000000</v>
      </c>
      <c r="J427" s="11">
        <v>31279000000</v>
      </c>
      <c r="K427" s="11"/>
      <c r="L427" s="11">
        <v>72473700644.020004</v>
      </c>
      <c r="M427" s="11">
        <v>159000000</v>
      </c>
      <c r="N427" s="11">
        <v>35.770000000000003</v>
      </c>
      <c r="O427" s="11">
        <v>58200000</v>
      </c>
      <c r="P427" s="12">
        <f t="shared" si="72"/>
        <v>-0.27625555629270881</v>
      </c>
      <c r="Q427" s="12">
        <f t="shared" si="73"/>
        <v>8.1833189214684382E-2</v>
      </c>
      <c r="R427" s="12">
        <f t="shared" si="74"/>
        <v>0.21908870882879092</v>
      </c>
      <c r="S427" s="12">
        <f t="shared" si="75"/>
        <v>0.46511627906976744</v>
      </c>
      <c r="T427" s="12">
        <f t="shared" si="76"/>
        <v>0.5961275386719983</v>
      </c>
      <c r="U427" s="13">
        <f t="shared" si="77"/>
        <v>6.4988572615832121</v>
      </c>
      <c r="V427" s="13">
        <f t="shared" si="78"/>
        <v>21.556763067529609</v>
      </c>
      <c r="W427" s="12">
        <f t="shared" si="79"/>
        <v>7.7919342950405396E-2</v>
      </c>
      <c r="X427" s="12">
        <f t="shared" si="80"/>
        <v>7.6368876080691636E-2</v>
      </c>
      <c r="Y427" s="13">
        <f t="shared" si="81"/>
        <v>35.773195876288661</v>
      </c>
      <c r="Z427" s="13">
        <f t="shared" si="82"/>
        <v>34.809654488001925</v>
      </c>
      <c r="AA427" s="13">
        <f t="shared" si="83"/>
        <v>58205199.888174444</v>
      </c>
    </row>
    <row r="428" spans="1:27" x14ac:dyDescent="0.25">
      <c r="A428" s="10" t="s">
        <v>487</v>
      </c>
      <c r="B428" s="11">
        <v>933000000</v>
      </c>
      <c r="C428" s="11">
        <v>6225600000</v>
      </c>
      <c r="D428" s="11"/>
      <c r="E428" s="11">
        <v>1184700000</v>
      </c>
      <c r="F428" s="11">
        <v>1527500000</v>
      </c>
      <c r="G428" s="11">
        <v>1053700000</v>
      </c>
      <c r="H428" s="11">
        <v>10314800000</v>
      </c>
      <c r="I428" s="11">
        <v>15493000000</v>
      </c>
      <c r="J428" s="11">
        <v>2476300000</v>
      </c>
      <c r="K428" s="11"/>
      <c r="L428" s="11">
        <v>29257778134.630001</v>
      </c>
      <c r="M428" s="11"/>
      <c r="N428" s="11">
        <v>19.940000000000001</v>
      </c>
      <c r="O428" s="11">
        <v>46800000</v>
      </c>
      <c r="P428" s="12">
        <f t="shared" si="72"/>
        <v>9.0452553612285255E-2</v>
      </c>
      <c r="Q428" s="12">
        <f t="shared" si="73"/>
        <v>6.0220744852514038E-2</v>
      </c>
      <c r="R428" s="12">
        <f t="shared" si="74"/>
        <v>0.14986507324595219</v>
      </c>
      <c r="S428" s="12">
        <f t="shared" si="75"/>
        <v>0.19029491133384735</v>
      </c>
      <c r="T428" s="12">
        <f t="shared" si="76"/>
        <v>0</v>
      </c>
      <c r="U428" s="13">
        <f t="shared" si="77"/>
        <v>1.6211456628477905</v>
      </c>
      <c r="V428" s="13">
        <f t="shared" si="78"/>
        <v>20.775173901558102</v>
      </c>
      <c r="W428" s="12">
        <f t="shared" si="79"/>
        <v>8.2377590668511705E-2</v>
      </c>
      <c r="X428" s="12">
        <f t="shared" si="80"/>
        <v>0</v>
      </c>
      <c r="Y428" s="13">
        <f t="shared" si="81"/>
        <v>19.935897435897434</v>
      </c>
      <c r="Z428" s="13">
        <f t="shared" si="82"/>
        <v>31.358819008177921</v>
      </c>
      <c r="AA428" s="13">
        <f t="shared" si="83"/>
        <v>46790371.11334002</v>
      </c>
    </row>
    <row r="429" spans="1:27" x14ac:dyDescent="0.25">
      <c r="A429" s="10" t="s">
        <v>488</v>
      </c>
      <c r="B429" s="11">
        <v>109563000</v>
      </c>
      <c r="C429" s="11">
        <v>1210811000</v>
      </c>
      <c r="D429" s="11">
        <v>786489000</v>
      </c>
      <c r="E429" s="11">
        <v>153754000</v>
      </c>
      <c r="F429" s="11">
        <v>254083000</v>
      </c>
      <c r="G429" s="11">
        <v>269598000</v>
      </c>
      <c r="H429" s="11">
        <v>2051664500</v>
      </c>
      <c r="I429" s="11">
        <v>2550601000</v>
      </c>
      <c r="J429" s="11"/>
      <c r="K429" s="11"/>
      <c r="L429" s="11">
        <v>11085928127.549999</v>
      </c>
      <c r="M429" s="11">
        <v>49819000</v>
      </c>
      <c r="N429" s="11">
        <v>0.7</v>
      </c>
      <c r="O429" s="11">
        <v>156943000</v>
      </c>
      <c r="P429" s="12">
        <f t="shared" si="72"/>
        <v>5.340200602973829E-2</v>
      </c>
      <c r="Q429" s="12">
        <f t="shared" si="73"/>
        <v>4.2955758270305705E-2</v>
      </c>
      <c r="R429" s="12">
        <f t="shared" si="74"/>
        <v>9.0487284968504583E-2</v>
      </c>
      <c r="S429" s="12">
        <f t="shared" si="75"/>
        <v>0.12698431051584433</v>
      </c>
      <c r="T429" s="12">
        <f t="shared" si="76"/>
        <v>0.64955554582837449</v>
      </c>
      <c r="U429" s="13">
        <f t="shared" si="77"/>
        <v>0</v>
      </c>
      <c r="V429" s="13">
        <f t="shared" si="78"/>
        <v>43.631128912796207</v>
      </c>
      <c r="W429" s="12">
        <f t="shared" si="79"/>
        <v>0.13140452544750861</v>
      </c>
      <c r="X429" s="12">
        <f t="shared" si="80"/>
        <v>0.45470642461414895</v>
      </c>
      <c r="Y429" s="13">
        <f t="shared" si="81"/>
        <v>0.69810695602862183</v>
      </c>
      <c r="Z429" s="13">
        <f t="shared" si="82"/>
        <v>101.18313780701513</v>
      </c>
      <c r="AA429" s="13">
        <f t="shared" si="83"/>
        <v>156518571.42857143</v>
      </c>
    </row>
    <row r="430" spans="1:27" x14ac:dyDescent="0.25">
      <c r="A430" s="10" t="s">
        <v>489</v>
      </c>
      <c r="B430" s="11">
        <v>2906000000</v>
      </c>
      <c r="C430" s="11">
        <v>18696000000</v>
      </c>
      <c r="D430" s="11">
        <v>6744000000</v>
      </c>
      <c r="E430" s="11">
        <v>3690000000</v>
      </c>
      <c r="F430" s="11">
        <v>4652000000</v>
      </c>
      <c r="G430" s="11">
        <v>3391000000</v>
      </c>
      <c r="H430" s="11">
        <v>12449000000</v>
      </c>
      <c r="I430" s="11">
        <v>25679000000</v>
      </c>
      <c r="J430" s="11">
        <v>5553000000</v>
      </c>
      <c r="K430" s="11"/>
      <c r="L430" s="11">
        <v>58060994448.040001</v>
      </c>
      <c r="M430" s="11">
        <v>838000000</v>
      </c>
      <c r="N430" s="11">
        <v>9.82</v>
      </c>
      <c r="O430" s="11">
        <v>296000000</v>
      </c>
      <c r="P430" s="12">
        <f t="shared" si="72"/>
        <v>0.23343240420917344</v>
      </c>
      <c r="Q430" s="12">
        <f t="shared" si="73"/>
        <v>0.1131664005607695</v>
      </c>
      <c r="R430" s="12">
        <f t="shared" si="74"/>
        <v>0.15543431750106976</v>
      </c>
      <c r="S430" s="12">
        <f t="shared" si="75"/>
        <v>0.19736842105263158</v>
      </c>
      <c r="T430" s="12">
        <f t="shared" si="76"/>
        <v>0.36071887034659822</v>
      </c>
      <c r="U430" s="13">
        <f t="shared" si="77"/>
        <v>1.1936801375752364</v>
      </c>
      <c r="V430" s="13">
        <f t="shared" si="78"/>
        <v>13.674547387798796</v>
      </c>
      <c r="W430" s="12">
        <f t="shared" si="79"/>
        <v>0.18836795911565382</v>
      </c>
      <c r="X430" s="12">
        <f t="shared" si="80"/>
        <v>0.28836889194769444</v>
      </c>
      <c r="Y430" s="13">
        <f t="shared" si="81"/>
        <v>9.8175675675675684</v>
      </c>
      <c r="Z430" s="13">
        <f t="shared" si="82"/>
        <v>19.979695267735721</v>
      </c>
      <c r="AA430" s="13">
        <f t="shared" si="83"/>
        <v>295926680.24439919</v>
      </c>
    </row>
    <row r="431" spans="1:27" x14ac:dyDescent="0.25">
      <c r="A431" s="10" t="s">
        <v>490</v>
      </c>
      <c r="B431" s="11">
        <v>854059000</v>
      </c>
      <c r="C431" s="11">
        <v>3786838000</v>
      </c>
      <c r="D431" s="11">
        <v>2222958000</v>
      </c>
      <c r="E431" s="11">
        <v>1002250000</v>
      </c>
      <c r="F431" s="11">
        <v>1132584000</v>
      </c>
      <c r="G431" s="11">
        <v>553181000</v>
      </c>
      <c r="H431" s="11">
        <v>2970657500</v>
      </c>
      <c r="I431" s="11">
        <v>4433827000</v>
      </c>
      <c r="J431" s="11"/>
      <c r="K431" s="11"/>
      <c r="L431" s="11">
        <v>56785669265.5</v>
      </c>
      <c r="M431" s="11">
        <v>77269000</v>
      </c>
      <c r="N431" s="11">
        <v>5.42</v>
      </c>
      <c r="O431" s="11">
        <v>157636000</v>
      </c>
      <c r="P431" s="12">
        <f t="shared" si="72"/>
        <v>0.28749830635137169</v>
      </c>
      <c r="Q431" s="12">
        <f t="shared" si="73"/>
        <v>0.19262343794649633</v>
      </c>
      <c r="R431" s="12">
        <f t="shared" si="74"/>
        <v>0.2255335454012028</v>
      </c>
      <c r="S431" s="12">
        <f t="shared" si="75"/>
        <v>0.26466672194585561</v>
      </c>
      <c r="T431" s="12">
        <f t="shared" si="76"/>
        <v>0.58702220691775042</v>
      </c>
      <c r="U431" s="13">
        <f t="shared" si="77"/>
        <v>0</v>
      </c>
      <c r="V431" s="13">
        <f t="shared" si="78"/>
        <v>50.138152459773401</v>
      </c>
      <c r="W431" s="12">
        <f t="shared" si="79"/>
        <v>0.18621500459073453</v>
      </c>
      <c r="X431" s="12">
        <f t="shared" si="80"/>
        <v>9.0472672262689111E-2</v>
      </c>
      <c r="Y431" s="13">
        <f t="shared" si="81"/>
        <v>5.4179184957750763</v>
      </c>
      <c r="Z431" s="13">
        <f t="shared" si="82"/>
        <v>66.489164408430796</v>
      </c>
      <c r="AA431" s="13">
        <f t="shared" si="83"/>
        <v>157575461.25461254</v>
      </c>
    </row>
    <row r="432" spans="1:27" x14ac:dyDescent="0.25">
      <c r="A432" s="10" t="s">
        <v>491</v>
      </c>
      <c r="B432" s="11">
        <v>5527000000</v>
      </c>
      <c r="C432" s="11"/>
      <c r="D432" s="11"/>
      <c r="E432" s="11"/>
      <c r="F432" s="11"/>
      <c r="G432" s="11">
        <v>5108000000</v>
      </c>
      <c r="H432" s="11">
        <v>64214000000</v>
      </c>
      <c r="I432" s="11">
        <v>548975000000</v>
      </c>
      <c r="J432" s="11">
        <v>41622000000</v>
      </c>
      <c r="K432" s="11"/>
      <c r="L432" s="11">
        <v>64000817026.010002</v>
      </c>
      <c r="M432" s="11">
        <v>2638000000</v>
      </c>
      <c r="N432" s="11">
        <v>4.3600000000000003</v>
      </c>
      <c r="O432" s="11">
        <v>1266572000</v>
      </c>
      <c r="P432" s="12">
        <f t="shared" si="72"/>
        <v>8.6071573177188776E-2</v>
      </c>
      <c r="Q432" s="12">
        <f t="shared" si="73"/>
        <v>1.0067853727401066E-2</v>
      </c>
      <c r="R432" s="12" t="str">
        <f t="shared" si="74"/>
        <v/>
      </c>
      <c r="S432" s="12" t="str">
        <f t="shared" si="75"/>
        <v/>
      </c>
      <c r="T432" s="12" t="str">
        <f t="shared" si="76"/>
        <v/>
      </c>
      <c r="U432" s="13" t="str">
        <f t="shared" si="77"/>
        <v/>
      </c>
      <c r="V432" s="13" t="str">
        <f t="shared" si="78"/>
        <v/>
      </c>
      <c r="W432" s="12">
        <f t="shared" si="79"/>
        <v>4.8263350844703123E-2</v>
      </c>
      <c r="X432" s="12">
        <f t="shared" si="80"/>
        <v>0.47729328749773836</v>
      </c>
      <c r="Y432" s="13">
        <f t="shared" si="81"/>
        <v>4.3637471853159555</v>
      </c>
      <c r="Z432" s="13">
        <f t="shared" si="82"/>
        <v>11.57966655075267</v>
      </c>
      <c r="AA432" s="13">
        <f t="shared" si="83"/>
        <v>1267660550.4587154</v>
      </c>
    </row>
    <row r="433" spans="1:27" x14ac:dyDescent="0.25">
      <c r="A433" s="10" t="s">
        <v>492</v>
      </c>
      <c r="B433" s="11">
        <v>3450000000</v>
      </c>
      <c r="C433" s="11">
        <v>106377000000</v>
      </c>
      <c r="D433" s="11"/>
      <c r="E433" s="11">
        <v>4780000000</v>
      </c>
      <c r="F433" s="11">
        <v>7940000000</v>
      </c>
      <c r="G433" s="11">
        <v>3031000000</v>
      </c>
      <c r="H433" s="11">
        <v>15671000000</v>
      </c>
      <c r="I433" s="11">
        <v>58010000000</v>
      </c>
      <c r="J433" s="11">
        <v>14398000000</v>
      </c>
      <c r="K433" s="11"/>
      <c r="L433" s="11">
        <v>60075860324.75</v>
      </c>
      <c r="M433" s="11">
        <v>2059000000</v>
      </c>
      <c r="N433" s="11">
        <v>7.57</v>
      </c>
      <c r="O433" s="11">
        <v>455800000</v>
      </c>
      <c r="P433" s="12">
        <f t="shared" si="72"/>
        <v>0.22015187288622295</v>
      </c>
      <c r="Q433" s="12">
        <f t="shared" si="73"/>
        <v>5.9472504740561975E-2</v>
      </c>
      <c r="R433" s="12">
        <f t="shared" si="74"/>
        <v>3.2431822668433967E-2</v>
      </c>
      <c r="S433" s="12">
        <f t="shared" si="75"/>
        <v>4.4934525320323E-2</v>
      </c>
      <c r="T433" s="12">
        <f t="shared" si="76"/>
        <v>0</v>
      </c>
      <c r="U433" s="13">
        <f t="shared" si="77"/>
        <v>1.8133501259445843</v>
      </c>
      <c r="V433" s="13">
        <f t="shared" si="78"/>
        <v>9.3795793859886647</v>
      </c>
      <c r="W433" s="12">
        <f t="shared" si="79"/>
        <v>0.10080148990654828</v>
      </c>
      <c r="X433" s="12">
        <f t="shared" si="80"/>
        <v>0.59681159420289853</v>
      </c>
      <c r="Y433" s="13">
        <f t="shared" si="81"/>
        <v>7.5691092584466872</v>
      </c>
      <c r="Z433" s="13">
        <f t="shared" si="82"/>
        <v>17.413292847753624</v>
      </c>
      <c r="AA433" s="13">
        <f t="shared" si="83"/>
        <v>455746367.23910171</v>
      </c>
    </row>
    <row r="434" spans="1:27" x14ac:dyDescent="0.25">
      <c r="A434" s="10" t="s">
        <v>493</v>
      </c>
      <c r="B434" s="11">
        <v>5790000000</v>
      </c>
      <c r="C434" s="11"/>
      <c r="D434" s="11"/>
      <c r="E434" s="11"/>
      <c r="F434" s="11"/>
      <c r="G434" s="11">
        <v>5477000000</v>
      </c>
      <c r="H434" s="11">
        <v>9453000000</v>
      </c>
      <c r="I434" s="11">
        <v>36158000000</v>
      </c>
      <c r="J434" s="11">
        <v>1871000000</v>
      </c>
      <c r="K434" s="11"/>
      <c r="L434" s="11">
        <v>166699894158.82001</v>
      </c>
      <c r="M434" s="11">
        <v>1892000000</v>
      </c>
      <c r="N434" s="11">
        <v>5.17</v>
      </c>
      <c r="O434" s="11">
        <v>1120000000</v>
      </c>
      <c r="P434" s="12">
        <f t="shared" si="72"/>
        <v>0.61250396699460485</v>
      </c>
      <c r="Q434" s="12">
        <f t="shared" si="73"/>
        <v>0.16013053819348416</v>
      </c>
      <c r="R434" s="12" t="str">
        <f t="shared" si="74"/>
        <v/>
      </c>
      <c r="S434" s="12" t="str">
        <f t="shared" si="75"/>
        <v/>
      </c>
      <c r="T434" s="12" t="str">
        <f t="shared" si="76"/>
        <v/>
      </c>
      <c r="U434" s="13" t="str">
        <f t="shared" si="77"/>
        <v/>
      </c>
      <c r="V434" s="13" t="str">
        <f t="shared" si="78"/>
        <v/>
      </c>
      <c r="W434" s="12">
        <f t="shared" si="79"/>
        <v>0.48366301660190747</v>
      </c>
      <c r="X434" s="12">
        <f t="shared" si="80"/>
        <v>0.32677029360967186</v>
      </c>
      <c r="Y434" s="13">
        <f t="shared" si="81"/>
        <v>5.1696428571428568</v>
      </c>
      <c r="Z434" s="13">
        <f t="shared" si="82"/>
        <v>28.79100071827634</v>
      </c>
      <c r="AA434" s="13">
        <f t="shared" si="83"/>
        <v>1119922630.5609283</v>
      </c>
    </row>
    <row r="435" spans="1:27" x14ac:dyDescent="0.25">
      <c r="A435" s="10" t="s">
        <v>494</v>
      </c>
      <c r="B435" s="11">
        <v>226346000</v>
      </c>
      <c r="C435" s="11">
        <v>5063227000</v>
      </c>
      <c r="D435" s="11"/>
      <c r="E435" s="11">
        <v>936130000</v>
      </c>
      <c r="F435" s="11">
        <v>1464387000</v>
      </c>
      <c r="G435" s="11"/>
      <c r="H435" s="11">
        <v>3768981000</v>
      </c>
      <c r="I435" s="11">
        <v>16022802000</v>
      </c>
      <c r="J435" s="11">
        <v>4639920000</v>
      </c>
      <c r="K435" s="11"/>
      <c r="L435" s="11">
        <v>14107416156.059999</v>
      </c>
      <c r="M435" s="11">
        <v>212563000</v>
      </c>
      <c r="N435" s="11">
        <v>1.1599999999999999</v>
      </c>
      <c r="O435" s="11">
        <v>194631394</v>
      </c>
      <c r="P435" s="12">
        <f t="shared" si="72"/>
        <v>6.0054959152089117E-2</v>
      </c>
      <c r="Q435" s="12">
        <f t="shared" si="73"/>
        <v>1.412649298168947E-2</v>
      </c>
      <c r="R435" s="12">
        <f t="shared" si="74"/>
        <v>4.4703901286669546E-2</v>
      </c>
      <c r="S435" s="12">
        <f t="shared" si="75"/>
        <v>0.18488801706895622</v>
      </c>
      <c r="T435" s="12">
        <f t="shared" si="76"/>
        <v>0</v>
      </c>
      <c r="U435" s="13">
        <f t="shared" si="77"/>
        <v>3.1685066857326651</v>
      </c>
      <c r="V435" s="13">
        <f t="shared" si="78"/>
        <v>12.802173302590093</v>
      </c>
      <c r="W435" s="12">
        <f t="shared" si="79"/>
        <v>0</v>
      </c>
      <c r="X435" s="12">
        <f t="shared" si="80"/>
        <v>0.9391065006671202</v>
      </c>
      <c r="Y435" s="13">
        <f t="shared" si="81"/>
        <v>1.1629470217944389</v>
      </c>
      <c r="Z435" s="13">
        <f t="shared" si="82"/>
        <v>62.326774743357511</v>
      </c>
      <c r="AA435" s="13">
        <f t="shared" si="83"/>
        <v>195125862.06896552</v>
      </c>
    </row>
    <row r="436" spans="1:27" x14ac:dyDescent="0.25">
      <c r="A436" s="10" t="s">
        <v>495</v>
      </c>
      <c r="B436" s="11">
        <v>6848000000</v>
      </c>
      <c r="C436" s="11">
        <v>45197000000</v>
      </c>
      <c r="D436" s="11"/>
      <c r="E436" s="11">
        <v>7893000000</v>
      </c>
      <c r="F436" s="11">
        <v>8973000000</v>
      </c>
      <c r="G436" s="11">
        <v>6748000000</v>
      </c>
      <c r="H436" s="11">
        <v>50662000000</v>
      </c>
      <c r="I436" s="11">
        <v>113281000000</v>
      </c>
      <c r="J436" s="11">
        <v>42947000000</v>
      </c>
      <c r="K436" s="11"/>
      <c r="L436" s="11">
        <v>194993507065.66</v>
      </c>
      <c r="M436" s="11">
        <v>649000000</v>
      </c>
      <c r="N436" s="11">
        <v>18.36</v>
      </c>
      <c r="O436" s="11">
        <v>373000000</v>
      </c>
      <c r="P436" s="12">
        <f t="shared" si="72"/>
        <v>0.13517034463700603</v>
      </c>
      <c r="Q436" s="12">
        <f t="shared" si="73"/>
        <v>6.0451443754910357E-2</v>
      </c>
      <c r="R436" s="12">
        <f t="shared" si="74"/>
        <v>0.1515144810496272</v>
      </c>
      <c r="S436" s="12">
        <f t="shared" si="75"/>
        <v>0.17463548465606124</v>
      </c>
      <c r="T436" s="12">
        <f t="shared" si="76"/>
        <v>0</v>
      </c>
      <c r="U436" s="13">
        <f t="shared" si="77"/>
        <v>4.7862476317842413</v>
      </c>
      <c r="V436" s="13">
        <f t="shared" si="78"/>
        <v>26.517386277238383</v>
      </c>
      <c r="W436" s="12">
        <f t="shared" si="79"/>
        <v>7.2087085643474449E-2</v>
      </c>
      <c r="X436" s="12">
        <f t="shared" si="80"/>
        <v>9.4772196261682248E-2</v>
      </c>
      <c r="Y436" s="13">
        <f t="shared" si="81"/>
        <v>18.359249329758715</v>
      </c>
      <c r="Z436" s="13">
        <f t="shared" si="82"/>
        <v>28.474519139261098</v>
      </c>
      <c r="AA436" s="13">
        <f t="shared" si="83"/>
        <v>372984749.4553377</v>
      </c>
    </row>
    <row r="437" spans="1:27" x14ac:dyDescent="0.25">
      <c r="A437" s="10" t="s">
        <v>496</v>
      </c>
      <c r="B437" s="11">
        <v>10543000000</v>
      </c>
      <c r="C437" s="11">
        <v>90530000000</v>
      </c>
      <c r="D437" s="11"/>
      <c r="E437" s="11">
        <v>17976000000</v>
      </c>
      <c r="F437" s="11">
        <v>32103000000</v>
      </c>
      <c r="G437" s="11">
        <v>18198000000</v>
      </c>
      <c r="H437" s="11">
        <v>58492000000</v>
      </c>
      <c r="I437" s="11">
        <v>214667000000</v>
      </c>
      <c r="J437" s="11">
        <v>86282000000</v>
      </c>
      <c r="K437" s="11"/>
      <c r="L437" s="11">
        <v>196398507417.48001</v>
      </c>
      <c r="M437" s="11">
        <v>4238000000</v>
      </c>
      <c r="N437" s="11">
        <v>9.57</v>
      </c>
      <c r="O437" s="11">
        <v>1102053246</v>
      </c>
      <c r="P437" s="12">
        <f t="shared" si="72"/>
        <v>0.18024687136702455</v>
      </c>
      <c r="Q437" s="12">
        <f t="shared" si="73"/>
        <v>4.9113277774413391E-2</v>
      </c>
      <c r="R437" s="12">
        <f t="shared" si="74"/>
        <v>0.11645863249751463</v>
      </c>
      <c r="S437" s="12">
        <f t="shared" si="75"/>
        <v>0.19856401192974704</v>
      </c>
      <c r="T437" s="12">
        <f t="shared" si="76"/>
        <v>0</v>
      </c>
      <c r="U437" s="13">
        <f t="shared" si="77"/>
        <v>2.6876615892595708</v>
      </c>
      <c r="V437" s="13">
        <f t="shared" si="78"/>
        <v>8.8054234002267702</v>
      </c>
      <c r="W437" s="12">
        <f t="shared" si="79"/>
        <v>0.12569936590824318</v>
      </c>
      <c r="X437" s="12">
        <f t="shared" si="80"/>
        <v>0.40197287299630086</v>
      </c>
      <c r="Y437" s="13">
        <f t="shared" si="81"/>
        <v>9.566688395743812</v>
      </c>
      <c r="Z437" s="13">
        <f t="shared" si="82"/>
        <v>18.628332297968321</v>
      </c>
      <c r="AA437" s="13">
        <f t="shared" si="83"/>
        <v>1101671891.3270638</v>
      </c>
    </row>
    <row r="438" spans="1:27" x14ac:dyDescent="0.25">
      <c r="A438" s="10" t="s">
        <v>497</v>
      </c>
      <c r="B438" s="11">
        <v>503626000</v>
      </c>
      <c r="C438" s="11">
        <v>839025000</v>
      </c>
      <c r="D438" s="11"/>
      <c r="E438" s="11">
        <v>624416000</v>
      </c>
      <c r="F438" s="11">
        <v>689051000</v>
      </c>
      <c r="G438" s="11">
        <v>533993000</v>
      </c>
      <c r="H438" s="11">
        <v>1381101500</v>
      </c>
      <c r="I438" s="11">
        <v>1751453000</v>
      </c>
      <c r="J438" s="11"/>
      <c r="K438" s="11"/>
      <c r="L438" s="11">
        <v>26953136862.549999</v>
      </c>
      <c r="M438" s="11">
        <v>152160000</v>
      </c>
      <c r="N438" s="11">
        <v>7.3</v>
      </c>
      <c r="O438" s="11">
        <v>69009942</v>
      </c>
      <c r="P438" s="12">
        <f t="shared" si="72"/>
        <v>0.3646553131685108</v>
      </c>
      <c r="Q438" s="12">
        <f t="shared" si="73"/>
        <v>0.28754753910039266</v>
      </c>
      <c r="R438" s="12">
        <f t="shared" si="74"/>
        <v>0.60025148237537618</v>
      </c>
      <c r="S438" s="12">
        <f t="shared" si="75"/>
        <v>0.74421620333124761</v>
      </c>
      <c r="T438" s="12">
        <f t="shared" si="76"/>
        <v>0</v>
      </c>
      <c r="U438" s="13">
        <f t="shared" si="77"/>
        <v>0</v>
      </c>
      <c r="V438" s="13">
        <f t="shared" si="78"/>
        <v>39.116316299591759</v>
      </c>
      <c r="W438" s="12">
        <f t="shared" si="79"/>
        <v>0.38664283544692407</v>
      </c>
      <c r="X438" s="12">
        <f t="shared" si="80"/>
        <v>0.30212896077644918</v>
      </c>
      <c r="Y438" s="13">
        <f t="shared" si="81"/>
        <v>7.2978760074888918</v>
      </c>
      <c r="Z438" s="13">
        <f t="shared" si="82"/>
        <v>53.518160028572787</v>
      </c>
      <c r="AA438" s="13">
        <f t="shared" si="83"/>
        <v>68989863.013698637</v>
      </c>
    </row>
    <row r="439" spans="1:27" x14ac:dyDescent="0.25">
      <c r="A439" s="10" t="s">
        <v>498</v>
      </c>
      <c r="B439" s="11">
        <v>662800000</v>
      </c>
      <c r="C439" s="11">
        <v>7850800000</v>
      </c>
      <c r="D439" s="11">
        <v>5980500000</v>
      </c>
      <c r="E439" s="11">
        <v>888600000</v>
      </c>
      <c r="F439" s="11">
        <v>1047300000</v>
      </c>
      <c r="G439" s="11">
        <v>1755000000</v>
      </c>
      <c r="H439" s="11">
        <v>1088100000</v>
      </c>
      <c r="I439" s="11">
        <v>6466700000</v>
      </c>
      <c r="J439" s="11">
        <v>2377100000</v>
      </c>
      <c r="K439" s="11"/>
      <c r="L439" s="11">
        <v>28272115350.200001</v>
      </c>
      <c r="M439" s="11">
        <v>318400000</v>
      </c>
      <c r="N439" s="11">
        <v>3.14</v>
      </c>
      <c r="O439" s="11">
        <v>211300000</v>
      </c>
      <c r="P439" s="12">
        <f t="shared" si="72"/>
        <v>0.60913518978035108</v>
      </c>
      <c r="Q439" s="12">
        <f t="shared" si="73"/>
        <v>0.10249431703960289</v>
      </c>
      <c r="R439" s="12">
        <f t="shared" si="74"/>
        <v>8.4424517246650024E-2</v>
      </c>
      <c r="S439" s="12">
        <f t="shared" si="75"/>
        <v>0.11318591735874051</v>
      </c>
      <c r="T439" s="12">
        <f t="shared" si="76"/>
        <v>0.76176950119733022</v>
      </c>
      <c r="U439" s="13">
        <f t="shared" si="77"/>
        <v>2.269741239377447</v>
      </c>
      <c r="V439" s="13">
        <f t="shared" si="78"/>
        <v>29.264981715076864</v>
      </c>
      <c r="W439" s="12">
        <f t="shared" si="79"/>
        <v>0.50646427334641575</v>
      </c>
      <c r="X439" s="12">
        <f t="shared" si="80"/>
        <v>0.4803862401931201</v>
      </c>
      <c r="Y439" s="13">
        <f t="shared" si="81"/>
        <v>3.136772361571226</v>
      </c>
      <c r="Z439" s="13">
        <f t="shared" si="82"/>
        <v>42.655575362401933</v>
      </c>
      <c r="AA439" s="13">
        <f t="shared" si="83"/>
        <v>211082802.54777068</v>
      </c>
    </row>
    <row r="440" spans="1:27" x14ac:dyDescent="0.25">
      <c r="A440" s="10" t="s">
        <v>499</v>
      </c>
      <c r="B440" s="11">
        <v>2132100000</v>
      </c>
      <c r="C440" s="11">
        <v>16561500000</v>
      </c>
      <c r="D440" s="11"/>
      <c r="E440" s="11">
        <v>3634800000</v>
      </c>
      <c r="F440" s="11">
        <v>5208500000</v>
      </c>
      <c r="G440" s="11">
        <v>261900000</v>
      </c>
      <c r="H440" s="11">
        <v>2794000000</v>
      </c>
      <c r="I440" s="11">
        <v>27107300000</v>
      </c>
      <c r="J440" s="11">
        <v>19131800000</v>
      </c>
      <c r="K440" s="11"/>
      <c r="L440" s="11">
        <v>58602076038.910004</v>
      </c>
      <c r="M440" s="11"/>
      <c r="N440" s="11">
        <v>9.89</v>
      </c>
      <c r="O440" s="11">
        <v>215500000</v>
      </c>
      <c r="P440" s="12">
        <f t="shared" si="72"/>
        <v>0.7630994989262706</v>
      </c>
      <c r="Q440" s="12">
        <f t="shared" si="73"/>
        <v>7.8654089488809281E-2</v>
      </c>
      <c r="R440" s="12">
        <f t="shared" si="74"/>
        <v>0.12873833891857622</v>
      </c>
      <c r="S440" s="12">
        <f t="shared" si="75"/>
        <v>0.21947287383389186</v>
      </c>
      <c r="T440" s="12">
        <f t="shared" si="76"/>
        <v>0</v>
      </c>
      <c r="U440" s="13">
        <f t="shared" si="77"/>
        <v>3.6731880579821445</v>
      </c>
      <c r="V440" s="13">
        <f t="shared" si="78"/>
        <v>14.92442661781895</v>
      </c>
      <c r="W440" s="12">
        <f t="shared" si="79"/>
        <v>1.1944832115589853E-2</v>
      </c>
      <c r="X440" s="12">
        <f t="shared" si="80"/>
        <v>0</v>
      </c>
      <c r="Y440" s="13">
        <f t="shared" si="81"/>
        <v>9.8937354988399075</v>
      </c>
      <c r="Z440" s="13">
        <f t="shared" si="82"/>
        <v>27.485613263406972</v>
      </c>
      <c r="AA440" s="13">
        <f t="shared" si="83"/>
        <v>215581395.3488372</v>
      </c>
    </row>
    <row r="441" spans="1:27" x14ac:dyDescent="0.25">
      <c r="A441" s="10" t="s">
        <v>500</v>
      </c>
      <c r="B441" s="11">
        <v>456200000</v>
      </c>
      <c r="C441" s="11">
        <v>3798700000</v>
      </c>
      <c r="D441" s="11">
        <v>2563400000</v>
      </c>
      <c r="E441" s="11">
        <v>638500000</v>
      </c>
      <c r="F441" s="11">
        <v>839400000</v>
      </c>
      <c r="G441" s="11">
        <v>480500000</v>
      </c>
      <c r="H441" s="11">
        <v>5528150000</v>
      </c>
      <c r="I441" s="11">
        <v>8991000000</v>
      </c>
      <c r="J441" s="11">
        <v>1392200000</v>
      </c>
      <c r="K441" s="11"/>
      <c r="L441" s="11">
        <v>12287307953.07</v>
      </c>
      <c r="M441" s="11"/>
      <c r="N441" s="11">
        <v>1.93</v>
      </c>
      <c r="O441" s="11">
        <v>236900000</v>
      </c>
      <c r="P441" s="12">
        <f t="shared" si="72"/>
        <v>8.2523086385137889E-2</v>
      </c>
      <c r="Q441" s="12">
        <f t="shared" si="73"/>
        <v>5.0739628517406293E-2</v>
      </c>
      <c r="R441" s="12">
        <f t="shared" si="74"/>
        <v>0.120093716271356</v>
      </c>
      <c r="S441" s="12">
        <f t="shared" si="75"/>
        <v>0.16808381814831388</v>
      </c>
      <c r="T441" s="12">
        <f t="shared" si="76"/>
        <v>0.67480980335377894</v>
      </c>
      <c r="U441" s="13">
        <f t="shared" si="77"/>
        <v>1.6585656421253276</v>
      </c>
      <c r="V441" s="13">
        <f t="shared" si="78"/>
        <v>16.296769064891588</v>
      </c>
      <c r="W441" s="12">
        <f t="shared" si="79"/>
        <v>6.9432904405124021E-2</v>
      </c>
      <c r="X441" s="12">
        <f t="shared" si="80"/>
        <v>0</v>
      </c>
      <c r="Y441" s="13">
        <f t="shared" si="81"/>
        <v>1.9257070493879274</v>
      </c>
      <c r="Z441" s="13">
        <f t="shared" si="82"/>
        <v>26.934037599890399</v>
      </c>
      <c r="AA441" s="13">
        <f t="shared" si="83"/>
        <v>236373056.99481866</v>
      </c>
    </row>
    <row r="442" spans="1:27" x14ac:dyDescent="0.25">
      <c r="A442" s="10" t="s">
        <v>501</v>
      </c>
      <c r="B442" s="11">
        <v>2094800000</v>
      </c>
      <c r="C442" s="11">
        <v>7407900000</v>
      </c>
      <c r="D442" s="11"/>
      <c r="E442" s="11">
        <v>2273000000</v>
      </c>
      <c r="F442" s="11"/>
      <c r="G442" s="11">
        <v>1690600000</v>
      </c>
      <c r="H442" s="11">
        <v>10586150000</v>
      </c>
      <c r="I442" s="11">
        <v>14393000000</v>
      </c>
      <c r="J442" s="11"/>
      <c r="K442" s="11"/>
      <c r="L442" s="11">
        <v>25079906886.189999</v>
      </c>
      <c r="M442" s="11">
        <v>1142600000</v>
      </c>
      <c r="N442" s="11">
        <v>9.6300000000000008</v>
      </c>
      <c r="O442" s="11">
        <v>217600000</v>
      </c>
      <c r="P442" s="12">
        <f t="shared" si="72"/>
        <v>0.1978811938240059</v>
      </c>
      <c r="Q442" s="12">
        <f t="shared" si="73"/>
        <v>0.1455429722781908</v>
      </c>
      <c r="R442" s="12">
        <f t="shared" si="74"/>
        <v>0.28277919518352029</v>
      </c>
      <c r="S442" s="12">
        <f t="shared" si="75"/>
        <v>0.30683459549939929</v>
      </c>
      <c r="T442" s="12">
        <f t="shared" si="76"/>
        <v>0</v>
      </c>
      <c r="U442" s="13" t="str">
        <f t="shared" si="77"/>
        <v/>
      </c>
      <c r="V442" s="13" t="str">
        <f t="shared" si="78"/>
        <v/>
      </c>
      <c r="W442" s="12">
        <f t="shared" si="79"/>
        <v>0.15969922965384015</v>
      </c>
      <c r="X442" s="12">
        <f t="shared" si="80"/>
        <v>0.5454458659537903</v>
      </c>
      <c r="Y442" s="13">
        <f t="shared" si="81"/>
        <v>9.6268382352941178</v>
      </c>
      <c r="Z442" s="13">
        <f t="shared" si="82"/>
        <v>11.972458891631659</v>
      </c>
      <c r="AA442" s="13">
        <f t="shared" si="83"/>
        <v>217528556.59397712</v>
      </c>
    </row>
    <row r="443" spans="1:27" x14ac:dyDescent="0.25">
      <c r="A443" s="10" t="s">
        <v>502</v>
      </c>
      <c r="B443" s="11">
        <v>7604000000</v>
      </c>
      <c r="C443" s="11">
        <v>48942000000</v>
      </c>
      <c r="D443" s="11"/>
      <c r="E443" s="11"/>
      <c r="F443" s="11"/>
      <c r="G443" s="11"/>
      <c r="H443" s="11">
        <v>30088500000</v>
      </c>
      <c r="I443" s="11">
        <v>142309000000</v>
      </c>
      <c r="J443" s="11"/>
      <c r="K443" s="11"/>
      <c r="L443" s="11">
        <v>71763333329.820007</v>
      </c>
      <c r="M443" s="11">
        <v>976000000</v>
      </c>
      <c r="N443" s="11">
        <v>34.82</v>
      </c>
      <c r="O443" s="11">
        <v>218400000</v>
      </c>
      <c r="P443" s="12">
        <f t="shared" si="72"/>
        <v>0.25272113930571483</v>
      </c>
      <c r="Q443" s="12">
        <f t="shared" si="73"/>
        <v>5.343302250736074E-2</v>
      </c>
      <c r="R443" s="12">
        <f t="shared" si="74"/>
        <v>0.1553675779494095</v>
      </c>
      <c r="S443" s="12">
        <f t="shared" si="75"/>
        <v>0</v>
      </c>
      <c r="T443" s="12">
        <f t="shared" si="76"/>
        <v>0</v>
      </c>
      <c r="U443" s="13" t="str">
        <f t="shared" si="77"/>
        <v/>
      </c>
      <c r="V443" s="13" t="str">
        <f t="shared" si="78"/>
        <v/>
      </c>
      <c r="W443" s="12">
        <f t="shared" si="79"/>
        <v>0</v>
      </c>
      <c r="X443" s="12">
        <f t="shared" si="80"/>
        <v>0.12835349815886377</v>
      </c>
      <c r="Y443" s="13">
        <f t="shared" si="81"/>
        <v>34.816849816849818</v>
      </c>
      <c r="Z443" s="13">
        <f t="shared" si="82"/>
        <v>9.4375767135481343</v>
      </c>
      <c r="AA443" s="13">
        <f t="shared" si="83"/>
        <v>218380241.24066627</v>
      </c>
    </row>
    <row r="444" spans="1:27" x14ac:dyDescent="0.25">
      <c r="A444" s="10" t="s">
        <v>503</v>
      </c>
      <c r="B444" s="11">
        <v>1949922000</v>
      </c>
      <c r="C444" s="11">
        <v>15649140000</v>
      </c>
      <c r="D444" s="11">
        <v>5700271000</v>
      </c>
      <c r="E444" s="11">
        <v>1451683000</v>
      </c>
      <c r="F444" s="11">
        <v>1945694000</v>
      </c>
      <c r="G444" s="11">
        <v>553504000</v>
      </c>
      <c r="H444" s="11">
        <v>2376144500</v>
      </c>
      <c r="I444" s="11">
        <v>11662097000</v>
      </c>
      <c r="J444" s="11">
        <v>150000000</v>
      </c>
      <c r="K444" s="11"/>
      <c r="L444" s="11">
        <v>15796422874.059999</v>
      </c>
      <c r="M444" s="11">
        <v>491649000</v>
      </c>
      <c r="N444" s="11">
        <v>3.69</v>
      </c>
      <c r="O444" s="11">
        <v>528136000</v>
      </c>
      <c r="P444" s="12">
        <f t="shared" si="72"/>
        <v>0.82062433492575892</v>
      </c>
      <c r="Q444" s="12">
        <f t="shared" si="73"/>
        <v>0.16720166193095462</v>
      </c>
      <c r="R444" s="12">
        <f t="shared" si="74"/>
        <v>0.12460250211832727</v>
      </c>
      <c r="S444" s="12">
        <f t="shared" si="75"/>
        <v>9.2764394720732252E-2</v>
      </c>
      <c r="T444" s="12">
        <f t="shared" si="76"/>
        <v>0.3642545852359938</v>
      </c>
      <c r="U444" s="13">
        <f t="shared" si="77"/>
        <v>7.7093314776115876E-2</v>
      </c>
      <c r="V444" s="13">
        <f t="shared" si="78"/>
        <v>8.1957506545530787</v>
      </c>
      <c r="W444" s="12">
        <f t="shared" si="79"/>
        <v>0.21911018946065833</v>
      </c>
      <c r="X444" s="12">
        <f t="shared" si="80"/>
        <v>0.25213777781880509</v>
      </c>
      <c r="Y444" s="13">
        <f t="shared" si="81"/>
        <v>3.6920830998076255</v>
      </c>
      <c r="Z444" s="13">
        <f t="shared" si="82"/>
        <v>8.1010537211539742</v>
      </c>
      <c r="AA444" s="13">
        <f t="shared" si="83"/>
        <v>528434146.34146345</v>
      </c>
    </row>
    <row r="445" spans="1:27" x14ac:dyDescent="0.25">
      <c r="A445" s="10" t="s">
        <v>504</v>
      </c>
      <c r="B445" s="11">
        <v>3862000000</v>
      </c>
      <c r="C445" s="11">
        <v>97879000000</v>
      </c>
      <c r="D445" s="11">
        <v>18661000000</v>
      </c>
      <c r="E445" s="11">
        <v>4897000000</v>
      </c>
      <c r="F445" s="11">
        <v>10117000000</v>
      </c>
      <c r="G445" s="11">
        <v>7000000000</v>
      </c>
      <c r="H445" s="11">
        <v>79384500000</v>
      </c>
      <c r="I445" s="11">
        <v>143724000000</v>
      </c>
      <c r="J445" s="11">
        <v>7645000000</v>
      </c>
      <c r="K445" s="11"/>
      <c r="L445" s="11">
        <v>1526889493908.8101</v>
      </c>
      <c r="M445" s="11"/>
      <c r="N445" s="11">
        <v>1.0900000000000001</v>
      </c>
      <c r="O445" s="11">
        <v>3538000000</v>
      </c>
      <c r="P445" s="12">
        <f t="shared" si="72"/>
        <v>4.8649295517386892E-2</v>
      </c>
      <c r="Q445" s="12">
        <f t="shared" si="73"/>
        <v>2.6870947093039436E-2</v>
      </c>
      <c r="R445" s="12">
        <f t="shared" si="74"/>
        <v>3.9456880434005248E-2</v>
      </c>
      <c r="S445" s="12">
        <f t="shared" si="75"/>
        <v>5.0031160923180662E-2</v>
      </c>
      <c r="T445" s="12">
        <f t="shared" si="76"/>
        <v>0.1906537663850264</v>
      </c>
      <c r="U445" s="13">
        <f t="shared" si="77"/>
        <v>0.755658792132055</v>
      </c>
      <c r="V445" s="13">
        <f t="shared" si="78"/>
        <v>151.67880734494514</v>
      </c>
      <c r="W445" s="12">
        <f t="shared" si="79"/>
        <v>8.0432497026870206E-2</v>
      </c>
      <c r="X445" s="12">
        <f t="shared" si="80"/>
        <v>0</v>
      </c>
      <c r="Y445" s="13">
        <f t="shared" si="81"/>
        <v>1.0915771622385528</v>
      </c>
      <c r="Z445" s="13">
        <f t="shared" si="82"/>
        <v>395.36237542952097</v>
      </c>
      <c r="AA445" s="13">
        <f t="shared" si="83"/>
        <v>3543119266.0550456</v>
      </c>
    </row>
    <row r="446" spans="1:27" x14ac:dyDescent="0.25">
      <c r="A446" s="10" t="s">
        <v>505</v>
      </c>
      <c r="B446" s="11">
        <v>453000000</v>
      </c>
      <c r="C446" s="11">
        <v>55710000000</v>
      </c>
      <c r="D446" s="11">
        <v>3637000000</v>
      </c>
      <c r="E446" s="11">
        <v>1155000000</v>
      </c>
      <c r="F446" s="11">
        <v>2531000000</v>
      </c>
      <c r="G446" s="11">
        <v>1227000000</v>
      </c>
      <c r="H446" s="11">
        <v>18249000000</v>
      </c>
      <c r="I446" s="11">
        <v>35165000000</v>
      </c>
      <c r="J446" s="11"/>
      <c r="K446" s="11"/>
      <c r="L446" s="11">
        <v>20321387467.040001</v>
      </c>
      <c r="M446" s="11">
        <v>701000000</v>
      </c>
      <c r="N446" s="11">
        <v>1.28</v>
      </c>
      <c r="O446" s="11">
        <v>354000000</v>
      </c>
      <c r="P446" s="12">
        <f t="shared" si="72"/>
        <v>2.482327798783495E-2</v>
      </c>
      <c r="Q446" s="12">
        <f t="shared" si="73"/>
        <v>1.2882127115029148E-2</v>
      </c>
      <c r="R446" s="12">
        <f t="shared" si="74"/>
        <v>8.1313947226709753E-3</v>
      </c>
      <c r="S446" s="12">
        <f t="shared" si="75"/>
        <v>2.0732364028002152E-2</v>
      </c>
      <c r="T446" s="12">
        <f t="shared" si="76"/>
        <v>6.528450906479985E-2</v>
      </c>
      <c r="U446" s="13">
        <f t="shared" si="77"/>
        <v>0</v>
      </c>
      <c r="V446" s="13">
        <f t="shared" si="78"/>
        <v>8.0289954433188466</v>
      </c>
      <c r="W446" s="12">
        <f t="shared" si="79"/>
        <v>6.7236560907446979E-2</v>
      </c>
      <c r="X446" s="12">
        <f t="shared" si="80"/>
        <v>1.5474613686534215</v>
      </c>
      <c r="Y446" s="13">
        <f t="shared" si="81"/>
        <v>1.2796610169491525</v>
      </c>
      <c r="Z446" s="13">
        <f t="shared" si="82"/>
        <v>44.859574982428256</v>
      </c>
      <c r="AA446" s="13">
        <f t="shared" si="83"/>
        <v>353906250</v>
      </c>
    </row>
    <row r="447" spans="1:27" x14ac:dyDescent="0.25">
      <c r="A447" s="10" t="s">
        <v>506</v>
      </c>
      <c r="B447" s="11">
        <v>2898100000</v>
      </c>
      <c r="C447" s="11">
        <v>21602800000</v>
      </c>
      <c r="D447" s="11"/>
      <c r="E447" s="11">
        <v>3924600000</v>
      </c>
      <c r="F447" s="11">
        <v>4132000000</v>
      </c>
      <c r="G447" s="11">
        <v>3078400000</v>
      </c>
      <c r="H447" s="11">
        <v>8040950000</v>
      </c>
      <c r="I447" s="11">
        <v>22754800000</v>
      </c>
      <c r="J447" s="11">
        <v>4615100000</v>
      </c>
      <c r="K447" s="11"/>
      <c r="L447" s="11">
        <v>104338185144</v>
      </c>
      <c r="M447" s="11">
        <v>858900000</v>
      </c>
      <c r="N447" s="11">
        <v>12.99</v>
      </c>
      <c r="O447" s="11">
        <v>223100000</v>
      </c>
      <c r="P447" s="12">
        <f t="shared" si="72"/>
        <v>0.36041761234679981</v>
      </c>
      <c r="Q447" s="12">
        <f t="shared" si="73"/>
        <v>0.12736213897727072</v>
      </c>
      <c r="R447" s="12">
        <f t="shared" si="74"/>
        <v>0.13415390597515137</v>
      </c>
      <c r="S447" s="12">
        <f t="shared" si="75"/>
        <v>0.18167089451367416</v>
      </c>
      <c r="T447" s="12">
        <f t="shared" si="76"/>
        <v>0</v>
      </c>
      <c r="U447" s="13">
        <f t="shared" si="77"/>
        <v>1.116916747337851</v>
      </c>
      <c r="V447" s="13">
        <f t="shared" si="78"/>
        <v>26.368171622458856</v>
      </c>
      <c r="W447" s="12">
        <f t="shared" si="79"/>
        <v>0.24323544865894178</v>
      </c>
      <c r="X447" s="12">
        <f t="shared" si="80"/>
        <v>0.29636658500396812</v>
      </c>
      <c r="Y447" s="13">
        <f t="shared" si="81"/>
        <v>12.990138951142985</v>
      </c>
      <c r="Z447" s="13">
        <f t="shared" si="82"/>
        <v>36.002272228011456</v>
      </c>
      <c r="AA447" s="13">
        <f t="shared" si="83"/>
        <v>223102386.45111623</v>
      </c>
    </row>
    <row r="448" spans="1:27" x14ac:dyDescent="0.25">
      <c r="A448" s="10" t="s">
        <v>507</v>
      </c>
      <c r="B448" s="11">
        <v>432623000</v>
      </c>
      <c r="C448" s="11">
        <v>2969120000</v>
      </c>
      <c r="D448" s="11"/>
      <c r="E448" s="11">
        <v>601516000</v>
      </c>
      <c r="F448" s="11">
        <v>724746000</v>
      </c>
      <c r="G448" s="11">
        <v>842454000</v>
      </c>
      <c r="H448" s="11">
        <v>2585085000</v>
      </c>
      <c r="I448" s="11">
        <v>5734384000</v>
      </c>
      <c r="J448" s="11"/>
      <c r="K448" s="11"/>
      <c r="L448" s="11">
        <v>9284640129.75</v>
      </c>
      <c r="M448" s="11"/>
      <c r="N448" s="11">
        <v>0.91</v>
      </c>
      <c r="O448" s="11">
        <v>476883000</v>
      </c>
      <c r="P448" s="12">
        <f t="shared" si="72"/>
        <v>0.16735349127784965</v>
      </c>
      <c r="Q448" s="12">
        <f t="shared" si="73"/>
        <v>7.5443674508020392E-2</v>
      </c>
      <c r="R448" s="12">
        <f t="shared" si="74"/>
        <v>0.14570748235167322</v>
      </c>
      <c r="S448" s="12">
        <f t="shared" si="75"/>
        <v>0.20259066659481598</v>
      </c>
      <c r="T448" s="12">
        <f t="shared" si="76"/>
        <v>0</v>
      </c>
      <c r="U448" s="13">
        <f t="shared" si="77"/>
        <v>0</v>
      </c>
      <c r="V448" s="13">
        <f t="shared" si="78"/>
        <v>12.810888407455854</v>
      </c>
      <c r="W448" s="12">
        <f t="shared" si="79"/>
        <v>0.32589025119096665</v>
      </c>
      <c r="X448" s="12">
        <f t="shared" si="80"/>
        <v>0</v>
      </c>
      <c r="Y448" s="13">
        <f t="shared" si="81"/>
        <v>0.90718897507355056</v>
      </c>
      <c r="Z448" s="13">
        <f t="shared" si="82"/>
        <v>21.461272585484359</v>
      </c>
      <c r="AA448" s="13">
        <f t="shared" si="83"/>
        <v>475409890.1098901</v>
      </c>
    </row>
    <row r="449" spans="1:27" x14ac:dyDescent="0.25">
      <c r="A449" s="10" t="s">
        <v>508</v>
      </c>
      <c r="B449" s="11">
        <v>-298200000</v>
      </c>
      <c r="C449" s="11">
        <v>6656400000</v>
      </c>
      <c r="D449" s="11">
        <v>3809700000</v>
      </c>
      <c r="E449" s="11">
        <v>-104200000</v>
      </c>
      <c r="F449" s="11">
        <v>94300000</v>
      </c>
      <c r="G449" s="11">
        <v>461500000</v>
      </c>
      <c r="H449" s="11">
        <v>2824300000</v>
      </c>
      <c r="I449" s="11">
        <v>9383200000</v>
      </c>
      <c r="J449" s="11">
        <v>1733000000</v>
      </c>
      <c r="K449" s="11"/>
      <c r="L449" s="11">
        <v>45692566897.519997</v>
      </c>
      <c r="M449" s="11"/>
      <c r="N449" s="11">
        <v>-1.75</v>
      </c>
      <c r="O449" s="11">
        <v>170100000</v>
      </c>
      <c r="P449" s="12">
        <f t="shared" si="72"/>
        <v>-0.10558368445278477</v>
      </c>
      <c r="Q449" s="12">
        <f t="shared" si="73"/>
        <v>-3.1780202915849605E-2</v>
      </c>
      <c r="R449" s="12">
        <f t="shared" si="74"/>
        <v>-4.4798990445285743E-2</v>
      </c>
      <c r="S449" s="12">
        <f t="shared" si="75"/>
        <v>-1.5654107325280931E-2</v>
      </c>
      <c r="T449" s="12">
        <f t="shared" si="76"/>
        <v>0.57233639805300163</v>
      </c>
      <c r="U449" s="13">
        <f t="shared" si="77"/>
        <v>18.377518557794275</v>
      </c>
      <c r="V449" s="13">
        <f t="shared" si="78"/>
        <v>502.92223645302221</v>
      </c>
      <c r="W449" s="12">
        <f t="shared" si="79"/>
        <v>0.10126610054198758</v>
      </c>
      <c r="X449" s="12">
        <f t="shared" si="80"/>
        <v>0</v>
      </c>
      <c r="Y449" s="13">
        <f t="shared" si="81"/>
        <v>-1.7530864197530864</v>
      </c>
      <c r="Z449" s="13">
        <f t="shared" si="82"/>
        <v>-153.22792386827632</v>
      </c>
      <c r="AA449" s="13">
        <f t="shared" si="83"/>
        <v>170400000</v>
      </c>
    </row>
    <row r="450" spans="1:27" x14ac:dyDescent="0.25">
      <c r="A450" s="10" t="s">
        <v>509</v>
      </c>
      <c r="B450" s="11">
        <v>5367000000</v>
      </c>
      <c r="C450" s="11">
        <v>18438000000</v>
      </c>
      <c r="D450" s="11">
        <v>10569000000</v>
      </c>
      <c r="E450" s="11">
        <v>6507000000</v>
      </c>
      <c r="F450" s="11">
        <v>8542000000</v>
      </c>
      <c r="G450" s="11">
        <v>3721000000</v>
      </c>
      <c r="H450" s="11">
        <v>16592000000</v>
      </c>
      <c r="I450" s="11">
        <v>34393000000</v>
      </c>
      <c r="J450" s="11">
        <v>14050000000</v>
      </c>
      <c r="K450" s="11"/>
      <c r="L450" s="11">
        <v>280790927696.28003</v>
      </c>
      <c r="M450" s="11">
        <v>5052000000</v>
      </c>
      <c r="N450" s="11">
        <v>5.87</v>
      </c>
      <c r="O450" s="11">
        <v>914000000</v>
      </c>
      <c r="P450" s="12">
        <f t="shared" si="72"/>
        <v>0.32346914175506269</v>
      </c>
      <c r="Q450" s="12">
        <f t="shared" si="73"/>
        <v>0.15604919605733725</v>
      </c>
      <c r="R450" s="12">
        <f t="shared" si="74"/>
        <v>0.29108363163032869</v>
      </c>
      <c r="S450" s="12">
        <f t="shared" si="75"/>
        <v>0.35291246339082327</v>
      </c>
      <c r="T450" s="12">
        <f t="shared" si="76"/>
        <v>0.5732183534005858</v>
      </c>
      <c r="U450" s="13">
        <f t="shared" si="77"/>
        <v>1.6448138609225005</v>
      </c>
      <c r="V450" s="13">
        <f t="shared" si="78"/>
        <v>34.516615277017095</v>
      </c>
      <c r="W450" s="12">
        <f t="shared" si="79"/>
        <v>0.12143463220416421</v>
      </c>
      <c r="X450" s="12">
        <f t="shared" si="80"/>
        <v>0.94130799329234205</v>
      </c>
      <c r="Y450" s="13">
        <f t="shared" si="81"/>
        <v>5.87199124726477</v>
      </c>
      <c r="Z450" s="13">
        <f t="shared" si="82"/>
        <v>52.31804130730017</v>
      </c>
      <c r="AA450" s="13">
        <f t="shared" si="83"/>
        <v>914310051.10732532</v>
      </c>
    </row>
    <row r="451" spans="1:27" x14ac:dyDescent="0.25">
      <c r="A451" s="10" t="s">
        <v>510</v>
      </c>
      <c r="B451" s="11">
        <v>934000000</v>
      </c>
      <c r="C451" s="11">
        <v>15188000000</v>
      </c>
      <c r="D451" s="11"/>
      <c r="E451" s="11"/>
      <c r="F451" s="11"/>
      <c r="G451" s="11">
        <v>859000000</v>
      </c>
      <c r="H451" s="11">
        <v>7638500000</v>
      </c>
      <c r="I451" s="11">
        <v>18141000000</v>
      </c>
      <c r="J451" s="11"/>
      <c r="K451" s="11"/>
      <c r="L451" s="11">
        <v>15724780604.9</v>
      </c>
      <c r="M451" s="11">
        <v>18000000</v>
      </c>
      <c r="N451" s="11">
        <v>5.3</v>
      </c>
      <c r="O451" s="11">
        <v>176177000</v>
      </c>
      <c r="P451" s="12">
        <f t="shared" ref="P451:P501" si="84">IFERROR(B451/H451,"")</f>
        <v>0.12227531583426066</v>
      </c>
      <c r="Q451" s="12">
        <f t="shared" ref="Q451:Q501" si="85">IFERROR(B451/I451,"")</f>
        <v>5.1485585138636242E-2</v>
      </c>
      <c r="R451" s="12">
        <f t="shared" ref="R451:R501" si="86">IFERROR(B451/C451,"")</f>
        <v>6.149591782986568E-2</v>
      </c>
      <c r="S451" s="12">
        <f t="shared" ref="S451:S501" si="87">IFERROR(E451/C451,"")</f>
        <v>0</v>
      </c>
      <c r="T451" s="12">
        <f t="shared" ref="T451:T501" si="88">IFERROR(D451/C451,"")</f>
        <v>0</v>
      </c>
      <c r="U451" s="13" t="str">
        <f t="shared" ref="U451:U501" si="89">IFERROR(J451/F451,"")</f>
        <v/>
      </c>
      <c r="V451" s="13" t="str">
        <f t="shared" ref="V451:V501" si="90">IFERROR((L451+J451-K451)/F451,"")</f>
        <v/>
      </c>
      <c r="W451" s="12">
        <f t="shared" ref="W451:W501" si="91">IFERROR(G451/(J451+H451),"")</f>
        <v>0.11245663415592067</v>
      </c>
      <c r="X451" s="12">
        <f t="shared" ref="X451:X501" si="92">IFERROR(M451/B451,"")</f>
        <v>1.9271948608137045E-2</v>
      </c>
      <c r="Y451" s="13">
        <f t="shared" ref="Y451:Y501" si="93">IFERROR(B451/O451,"")</f>
        <v>5.3014865731622178</v>
      </c>
      <c r="Z451" s="13">
        <f t="shared" ref="Z451:Z501" si="94">IFERROR(L451/B451,"")</f>
        <v>16.835953538436829</v>
      </c>
      <c r="AA451" s="13">
        <f t="shared" ref="AA451:AA501" si="95">IFERROR(B451/N451,"")</f>
        <v>176226415.09433964</v>
      </c>
    </row>
    <row r="452" spans="1:27" x14ac:dyDescent="0.25">
      <c r="A452" s="10" t="s">
        <v>511</v>
      </c>
      <c r="B452" s="11">
        <v>315731000</v>
      </c>
      <c r="C452" s="11">
        <v>2380678000</v>
      </c>
      <c r="D452" s="11">
        <v>1113053000</v>
      </c>
      <c r="E452" s="11">
        <v>368315000</v>
      </c>
      <c r="F452" s="11">
        <v>511001000</v>
      </c>
      <c r="G452" s="11">
        <v>687730000</v>
      </c>
      <c r="H452" s="11">
        <v>3535468500</v>
      </c>
      <c r="I452" s="11">
        <v>4798619000</v>
      </c>
      <c r="J452" s="11">
        <v>599663000</v>
      </c>
      <c r="K452" s="11"/>
      <c r="L452" s="11">
        <v>12795124412.309999</v>
      </c>
      <c r="M452" s="11"/>
      <c r="N452" s="11">
        <v>7.32</v>
      </c>
      <c r="O452" s="11">
        <v>43147000</v>
      </c>
      <c r="P452" s="12">
        <f t="shared" si="84"/>
        <v>8.930386453733076E-2</v>
      </c>
      <c r="Q452" s="12">
        <f t="shared" si="85"/>
        <v>6.5796221787976922E-2</v>
      </c>
      <c r="R452" s="12">
        <f t="shared" si="86"/>
        <v>0.13262230339424316</v>
      </c>
      <c r="S452" s="12">
        <f t="shared" si="87"/>
        <v>0.15471012879524237</v>
      </c>
      <c r="T452" s="12">
        <f t="shared" si="88"/>
        <v>0.46753613886464274</v>
      </c>
      <c r="U452" s="13">
        <f t="shared" si="89"/>
        <v>1.1735065097719966</v>
      </c>
      <c r="V452" s="13">
        <f t="shared" si="90"/>
        <v>26.212839920685084</v>
      </c>
      <c r="W452" s="12">
        <f t="shared" si="91"/>
        <v>0.16631393705375513</v>
      </c>
      <c r="X452" s="12">
        <f t="shared" si="92"/>
        <v>0</v>
      </c>
      <c r="Y452" s="13">
        <f t="shared" si="93"/>
        <v>7.3175655317866823</v>
      </c>
      <c r="Z452" s="13">
        <f t="shared" si="94"/>
        <v>40.525397925164143</v>
      </c>
      <c r="AA452" s="13">
        <f t="shared" si="95"/>
        <v>43132650.273224041</v>
      </c>
    </row>
    <row r="453" spans="1:27" x14ac:dyDescent="0.25">
      <c r="A453" s="10" t="s">
        <v>512</v>
      </c>
      <c r="B453" s="11">
        <v>3665000000</v>
      </c>
      <c r="C453" s="11">
        <v>60465000000</v>
      </c>
      <c r="D453" s="11"/>
      <c r="E453" s="11">
        <v>5103000000</v>
      </c>
      <c r="F453" s="11">
        <v>8071000000</v>
      </c>
      <c r="G453" s="11">
        <v>3207000000</v>
      </c>
      <c r="H453" s="11">
        <v>14246000000</v>
      </c>
      <c r="I453" s="11">
        <v>80941000000</v>
      </c>
      <c r="J453" s="11">
        <v>17170000000</v>
      </c>
      <c r="K453" s="11"/>
      <c r="L453" s="11">
        <v>41885724388.910004</v>
      </c>
      <c r="M453" s="11"/>
      <c r="N453" s="11">
        <v>11.21</v>
      </c>
      <c r="O453" s="11">
        <v>326800000</v>
      </c>
      <c r="P453" s="12">
        <f t="shared" si="84"/>
        <v>0.2572651972483504</v>
      </c>
      <c r="Q453" s="12">
        <f t="shared" si="85"/>
        <v>4.5279895232329719E-2</v>
      </c>
      <c r="R453" s="12">
        <f t="shared" si="86"/>
        <v>6.0613578103034811E-2</v>
      </c>
      <c r="S453" s="12">
        <f t="shared" si="87"/>
        <v>8.4395931530637555E-2</v>
      </c>
      <c r="T453" s="12">
        <f t="shared" si="88"/>
        <v>0</v>
      </c>
      <c r="U453" s="13">
        <f t="shared" si="89"/>
        <v>2.1273695948457441</v>
      </c>
      <c r="V453" s="13">
        <f t="shared" si="90"/>
        <v>7.317026934569447</v>
      </c>
      <c r="W453" s="12">
        <f t="shared" si="91"/>
        <v>0.10208174178762414</v>
      </c>
      <c r="X453" s="12">
        <f t="shared" si="92"/>
        <v>0</v>
      </c>
      <c r="Y453" s="13">
        <f t="shared" si="93"/>
        <v>11.214810281517748</v>
      </c>
      <c r="Z453" s="13">
        <f t="shared" si="94"/>
        <v>11.428574185241475</v>
      </c>
      <c r="AA453" s="13">
        <f t="shared" si="95"/>
        <v>326940231.93577158</v>
      </c>
    </row>
    <row r="454" spans="1:27" x14ac:dyDescent="0.25">
      <c r="A454" s="10" t="s">
        <v>513</v>
      </c>
      <c r="B454" s="11">
        <v>8540000000</v>
      </c>
      <c r="C454" s="11">
        <v>53687000000</v>
      </c>
      <c r="D454" s="11"/>
      <c r="E454" s="11">
        <v>6260000000</v>
      </c>
      <c r="F454" s="11">
        <v>6992000000</v>
      </c>
      <c r="G454" s="11">
        <v>9799000000</v>
      </c>
      <c r="H454" s="11">
        <v>23363000000</v>
      </c>
      <c r="I454" s="11">
        <v>59885000000</v>
      </c>
      <c r="J454" s="11">
        <v>10600000000</v>
      </c>
      <c r="K454" s="11"/>
      <c r="L454" s="11">
        <v>151346783510.47</v>
      </c>
      <c r="M454" s="11"/>
      <c r="N454" s="11">
        <v>4.12</v>
      </c>
      <c r="O454" s="11">
        <v>2071391000</v>
      </c>
      <c r="P454" s="12">
        <f t="shared" si="84"/>
        <v>0.36553524804177545</v>
      </c>
      <c r="Q454" s="12">
        <f t="shared" si="85"/>
        <v>0.14260666277030976</v>
      </c>
      <c r="R454" s="12">
        <f t="shared" si="86"/>
        <v>0.15907016596196472</v>
      </c>
      <c r="S454" s="12">
        <f t="shared" si="87"/>
        <v>0.11660178441708421</v>
      </c>
      <c r="T454" s="12">
        <f t="shared" si="88"/>
        <v>0</v>
      </c>
      <c r="U454" s="13">
        <f t="shared" si="89"/>
        <v>1.5160183066361557</v>
      </c>
      <c r="V454" s="13">
        <f t="shared" si="90"/>
        <v>23.161725330444796</v>
      </c>
      <c r="W454" s="12">
        <f t="shared" si="91"/>
        <v>0.28851985984748107</v>
      </c>
      <c r="X454" s="12">
        <f t="shared" si="92"/>
        <v>0</v>
      </c>
      <c r="Y454" s="13">
        <f t="shared" si="93"/>
        <v>4.1228334003575373</v>
      </c>
      <c r="Z454" s="13">
        <f t="shared" si="94"/>
        <v>17.722105797478921</v>
      </c>
      <c r="AA454" s="13">
        <f t="shared" si="95"/>
        <v>2072815533.9805825</v>
      </c>
    </row>
    <row r="455" spans="1:27" x14ac:dyDescent="0.25">
      <c r="A455" s="10" t="s">
        <v>514</v>
      </c>
      <c r="B455" s="11">
        <v>490815000</v>
      </c>
      <c r="C455" s="11">
        <v>1716218000</v>
      </c>
      <c r="D455" s="11"/>
      <c r="E455" s="11">
        <v>661216000</v>
      </c>
      <c r="F455" s="11">
        <v>1337393000</v>
      </c>
      <c r="G455" s="11"/>
      <c r="H455" s="11">
        <v>3308362000</v>
      </c>
      <c r="I455" s="11">
        <v>10333774000</v>
      </c>
      <c r="J455" s="11">
        <v>5663316000</v>
      </c>
      <c r="K455" s="11"/>
      <c r="L455" s="11">
        <v>12895901821.370001</v>
      </c>
      <c r="M455" s="11">
        <v>568402000</v>
      </c>
      <c r="N455" s="11">
        <v>1.49</v>
      </c>
      <c r="O455" s="11">
        <v>330294000</v>
      </c>
      <c r="P455" s="12">
        <f t="shared" si="84"/>
        <v>0.1483558933393625</v>
      </c>
      <c r="Q455" s="12">
        <f t="shared" si="85"/>
        <v>4.7496200323328144E-2</v>
      </c>
      <c r="R455" s="12">
        <f t="shared" si="86"/>
        <v>0.28598639566768325</v>
      </c>
      <c r="S455" s="12">
        <f t="shared" si="87"/>
        <v>0.38527506412355539</v>
      </c>
      <c r="T455" s="12">
        <f t="shared" si="88"/>
        <v>0</v>
      </c>
      <c r="U455" s="13">
        <f t="shared" si="89"/>
        <v>4.2345937207686895</v>
      </c>
      <c r="V455" s="13">
        <f t="shared" si="90"/>
        <v>13.877160880436792</v>
      </c>
      <c r="W455" s="12">
        <f t="shared" si="91"/>
        <v>0</v>
      </c>
      <c r="X455" s="12">
        <f t="shared" si="92"/>
        <v>1.1580778908550065</v>
      </c>
      <c r="Y455" s="13">
        <f t="shared" si="93"/>
        <v>1.4859942959908445</v>
      </c>
      <c r="Z455" s="13">
        <f t="shared" si="94"/>
        <v>26.274465575359354</v>
      </c>
      <c r="AA455" s="13">
        <f t="shared" si="95"/>
        <v>329406040.2684564</v>
      </c>
    </row>
    <row r="456" spans="1:27" x14ac:dyDescent="0.25">
      <c r="A456" s="10" t="s">
        <v>515</v>
      </c>
      <c r="B456" s="11">
        <v>1520798000</v>
      </c>
      <c r="C456" s="11">
        <v>17760291000</v>
      </c>
      <c r="D456" s="11"/>
      <c r="E456" s="11">
        <v>2042050000</v>
      </c>
      <c r="F456" s="11">
        <v>2667874000</v>
      </c>
      <c r="G456" s="11">
        <v>912694000</v>
      </c>
      <c r="H456" s="11">
        <v>7125230500</v>
      </c>
      <c r="I456" s="11">
        <v>15681142000</v>
      </c>
      <c r="J456" s="11">
        <v>4700000000</v>
      </c>
      <c r="K456" s="11"/>
      <c r="L456" s="11">
        <v>9395241490.4599991</v>
      </c>
      <c r="M456" s="11">
        <v>50707000</v>
      </c>
      <c r="N456" s="11">
        <v>24.66</v>
      </c>
      <c r="O456" s="11">
        <v>61668000</v>
      </c>
      <c r="P456" s="12">
        <f t="shared" si="84"/>
        <v>0.2134384284129475</v>
      </c>
      <c r="Q456" s="12">
        <f t="shared" si="85"/>
        <v>9.6982604965888328E-2</v>
      </c>
      <c r="R456" s="12">
        <f t="shared" si="86"/>
        <v>8.5629114973397674E-2</v>
      </c>
      <c r="S456" s="12">
        <f t="shared" si="87"/>
        <v>0.11497840885602606</v>
      </c>
      <c r="T456" s="12">
        <f t="shared" si="88"/>
        <v>0</v>
      </c>
      <c r="U456" s="13">
        <f t="shared" si="89"/>
        <v>1.7617023892432702</v>
      </c>
      <c r="V456" s="13">
        <f t="shared" si="90"/>
        <v>5.2833235341923936</v>
      </c>
      <c r="W456" s="12">
        <f t="shared" si="91"/>
        <v>7.7181920470810267E-2</v>
      </c>
      <c r="X456" s="12">
        <f t="shared" si="92"/>
        <v>3.3342363680120571E-2</v>
      </c>
      <c r="Y456" s="13">
        <f t="shared" si="93"/>
        <v>24.661055977168061</v>
      </c>
      <c r="Z456" s="13">
        <f t="shared" si="94"/>
        <v>6.1778365637382473</v>
      </c>
      <c r="AA456" s="13">
        <f t="shared" si="95"/>
        <v>61670640.713706404</v>
      </c>
    </row>
    <row r="457" spans="1:27" x14ac:dyDescent="0.25">
      <c r="A457" s="10" t="s">
        <v>516</v>
      </c>
      <c r="B457" s="11">
        <v>1188896000</v>
      </c>
      <c r="C457" s="11">
        <v>12708310000</v>
      </c>
      <c r="D457" s="11">
        <v>4998625000</v>
      </c>
      <c r="E457" s="11">
        <v>1579471000</v>
      </c>
      <c r="F457" s="11">
        <v>1889609000</v>
      </c>
      <c r="G457" s="11">
        <v>1130579000</v>
      </c>
      <c r="H457" s="11">
        <v>2505629000</v>
      </c>
      <c r="I457" s="11">
        <v>6895245000</v>
      </c>
      <c r="J457" s="11">
        <v>800000000</v>
      </c>
      <c r="K457" s="11"/>
      <c r="L457" s="11">
        <v>19785400074.82</v>
      </c>
      <c r="M457" s="11"/>
      <c r="N457" s="11">
        <v>27.04</v>
      </c>
      <c r="O457" s="11">
        <v>43964000</v>
      </c>
      <c r="P457" s="12">
        <f t="shared" si="84"/>
        <v>0.47449003822992153</v>
      </c>
      <c r="Q457" s="12">
        <f t="shared" si="85"/>
        <v>0.1724225897701967</v>
      </c>
      <c r="R457" s="12">
        <f t="shared" si="86"/>
        <v>9.3552643899936339E-2</v>
      </c>
      <c r="S457" s="12">
        <f t="shared" si="87"/>
        <v>0.12428647082106117</v>
      </c>
      <c r="T457" s="12">
        <f t="shared" si="88"/>
        <v>0.39333514841863315</v>
      </c>
      <c r="U457" s="13">
        <f t="shared" si="89"/>
        <v>0.42336800893729865</v>
      </c>
      <c r="V457" s="13">
        <f t="shared" si="90"/>
        <v>10.893999803567828</v>
      </c>
      <c r="W457" s="12">
        <f t="shared" si="91"/>
        <v>0.34201630007481176</v>
      </c>
      <c r="X457" s="12">
        <f t="shared" si="92"/>
        <v>0</v>
      </c>
      <c r="Y457" s="13">
        <f t="shared" si="93"/>
        <v>27.042489309434991</v>
      </c>
      <c r="Z457" s="13">
        <f t="shared" si="94"/>
        <v>16.641825756685193</v>
      </c>
      <c r="AA457" s="13">
        <f t="shared" si="95"/>
        <v>43968047.337278105</v>
      </c>
    </row>
    <row r="458" spans="1:27" x14ac:dyDescent="0.25">
      <c r="A458" s="10" t="s">
        <v>517</v>
      </c>
      <c r="B458" s="11">
        <v>12044000000</v>
      </c>
      <c r="C458" s="11">
        <v>449713000000</v>
      </c>
      <c r="D458" s="11"/>
      <c r="E458" s="11">
        <v>18835000000</v>
      </c>
      <c r="F458" s="11">
        <v>23164000000</v>
      </c>
      <c r="G458" s="11">
        <v>19666000000</v>
      </c>
      <c r="H458" s="11"/>
      <c r="I458" s="11">
        <v>312644000000</v>
      </c>
      <c r="J458" s="11">
        <v>71440000000</v>
      </c>
      <c r="K458" s="11"/>
      <c r="L458" s="11">
        <v>392027769667.27002</v>
      </c>
      <c r="M458" s="11">
        <v>8009000000</v>
      </c>
      <c r="N458" s="11">
        <v>13.24</v>
      </c>
      <c r="O458" s="11">
        <v>910000000</v>
      </c>
      <c r="P458" s="12" t="str">
        <f t="shared" si="84"/>
        <v/>
      </c>
      <c r="Q458" s="12">
        <f t="shared" si="85"/>
        <v>3.8523048579214701E-2</v>
      </c>
      <c r="R458" s="12">
        <f t="shared" si="86"/>
        <v>2.6781525106012057E-2</v>
      </c>
      <c r="S458" s="12">
        <f t="shared" si="87"/>
        <v>4.1882267134817096E-2</v>
      </c>
      <c r="T458" s="12">
        <f t="shared" si="88"/>
        <v>0</v>
      </c>
      <c r="U458" s="13">
        <f t="shared" si="89"/>
        <v>3.0840960110516318</v>
      </c>
      <c r="V458" s="13">
        <f t="shared" si="90"/>
        <v>20.008106098569765</v>
      </c>
      <c r="W458" s="12">
        <f t="shared" si="91"/>
        <v>0.27527995520716686</v>
      </c>
      <c r="X458" s="12">
        <f t="shared" si="92"/>
        <v>0.66497841248754563</v>
      </c>
      <c r="Y458" s="13">
        <f t="shared" si="93"/>
        <v>13.235164835164834</v>
      </c>
      <c r="Z458" s="13">
        <f t="shared" si="94"/>
        <v>32.549632154373136</v>
      </c>
      <c r="AA458" s="13">
        <f t="shared" si="95"/>
        <v>909667673.71601212</v>
      </c>
    </row>
    <row r="459" spans="1:27" x14ac:dyDescent="0.25">
      <c r="A459" s="10" t="s">
        <v>518</v>
      </c>
      <c r="B459" s="11">
        <v>7213000000</v>
      </c>
      <c r="C459" s="11">
        <v>21212000000</v>
      </c>
      <c r="D459" s="11"/>
      <c r="E459" s="11">
        <v>9933000000</v>
      </c>
      <c r="F459" s="11">
        <v>12421000000</v>
      </c>
      <c r="G459" s="11">
        <v>5698000000</v>
      </c>
      <c r="H459" s="11">
        <v>17728500000</v>
      </c>
      <c r="I459" s="11">
        <v>69644000000</v>
      </c>
      <c r="J459" s="11">
        <v>31814000000</v>
      </c>
      <c r="K459" s="11"/>
      <c r="L459" s="11">
        <v>169232019306.75</v>
      </c>
      <c r="M459" s="11">
        <v>3253000000</v>
      </c>
      <c r="N459" s="11">
        <v>12.15</v>
      </c>
      <c r="O459" s="11">
        <v>593600000</v>
      </c>
      <c r="P459" s="12">
        <f t="shared" si="84"/>
        <v>0.40685901232478777</v>
      </c>
      <c r="Q459" s="12">
        <f t="shared" si="85"/>
        <v>0.10356958244787778</v>
      </c>
      <c r="R459" s="12">
        <f t="shared" si="86"/>
        <v>0.34004337167640958</v>
      </c>
      <c r="S459" s="12">
        <f t="shared" si="87"/>
        <v>0.46827267584386195</v>
      </c>
      <c r="T459" s="12">
        <f t="shared" si="88"/>
        <v>0</v>
      </c>
      <c r="U459" s="13">
        <f t="shared" si="89"/>
        <v>2.5613074631672168</v>
      </c>
      <c r="V459" s="13">
        <f t="shared" si="90"/>
        <v>16.185976918665968</v>
      </c>
      <c r="W459" s="12">
        <f t="shared" si="91"/>
        <v>0.11501236312257153</v>
      </c>
      <c r="X459" s="12">
        <f t="shared" si="92"/>
        <v>0.45099126577013726</v>
      </c>
      <c r="Y459" s="13">
        <f t="shared" si="93"/>
        <v>12.151280323450134</v>
      </c>
      <c r="Z459" s="13">
        <f t="shared" si="94"/>
        <v>23.462085027970332</v>
      </c>
      <c r="AA459" s="13">
        <f t="shared" si="95"/>
        <v>593662551.44032919</v>
      </c>
    </row>
    <row r="460" spans="1:27" x14ac:dyDescent="0.25">
      <c r="A460" s="10" t="s">
        <v>519</v>
      </c>
      <c r="B460" s="11">
        <v>5249000000</v>
      </c>
      <c r="C460" s="11"/>
      <c r="D460" s="11"/>
      <c r="E460" s="11"/>
      <c r="F460" s="11">
        <v>10516000000</v>
      </c>
      <c r="G460" s="11">
        <v>4516000000</v>
      </c>
      <c r="H460" s="11">
        <v>15711500000</v>
      </c>
      <c r="I460" s="11">
        <v>71809000000</v>
      </c>
      <c r="J460" s="11">
        <v>23585000000</v>
      </c>
      <c r="K460" s="11"/>
      <c r="L460" s="11">
        <v>94129693520.649994</v>
      </c>
      <c r="M460" s="11">
        <v>5402000000</v>
      </c>
      <c r="N460" s="11">
        <v>6.18</v>
      </c>
      <c r="O460" s="11">
        <v>850000000</v>
      </c>
      <c r="P460" s="12">
        <f t="shared" si="84"/>
        <v>0.3340864971517678</v>
      </c>
      <c r="Q460" s="12">
        <f t="shared" si="85"/>
        <v>7.3096687044799394E-2</v>
      </c>
      <c r="R460" s="12" t="str">
        <f t="shared" si="86"/>
        <v/>
      </c>
      <c r="S460" s="12" t="str">
        <f t="shared" si="87"/>
        <v/>
      </c>
      <c r="T460" s="12" t="str">
        <f t="shared" si="88"/>
        <v/>
      </c>
      <c r="U460" s="13">
        <f t="shared" si="89"/>
        <v>2.24277291745911</v>
      </c>
      <c r="V460" s="13">
        <f t="shared" si="90"/>
        <v>11.193865873017307</v>
      </c>
      <c r="W460" s="12">
        <f t="shared" si="91"/>
        <v>0.11492117618617434</v>
      </c>
      <c r="X460" s="12">
        <f t="shared" si="92"/>
        <v>1.0291484092208039</v>
      </c>
      <c r="Y460" s="13">
        <f t="shared" si="93"/>
        <v>6.1752941176470593</v>
      </c>
      <c r="Z460" s="13">
        <f t="shared" si="94"/>
        <v>17.932881219403694</v>
      </c>
      <c r="AA460" s="13">
        <f t="shared" si="95"/>
        <v>849352750.80906153</v>
      </c>
    </row>
    <row r="461" spans="1:27" x14ac:dyDescent="0.25">
      <c r="A461" s="10" t="s">
        <v>520</v>
      </c>
      <c r="B461" s="11">
        <v>2507000000</v>
      </c>
      <c r="C461" s="11">
        <v>16365000000</v>
      </c>
      <c r="D461" s="11">
        <v>6257000000</v>
      </c>
      <c r="E461" s="11">
        <v>4038000000</v>
      </c>
      <c r="F461" s="11">
        <v>4476000000</v>
      </c>
      <c r="G461" s="11">
        <v>5131000000</v>
      </c>
      <c r="H461" s="11">
        <v>8878500000</v>
      </c>
      <c r="I461" s="11">
        <v>29888000000</v>
      </c>
      <c r="J461" s="11">
        <v>14302000000</v>
      </c>
      <c r="K461" s="11"/>
      <c r="L461" s="11">
        <v>68201429962.209999</v>
      </c>
      <c r="M461" s="11">
        <v>471000000</v>
      </c>
      <c r="N461" s="11">
        <v>39.78</v>
      </c>
      <c r="O461" s="11">
        <v>63026000</v>
      </c>
      <c r="P461" s="12">
        <f t="shared" si="84"/>
        <v>0.28236751703553531</v>
      </c>
      <c r="Q461" s="12">
        <f t="shared" si="85"/>
        <v>8.3879817987152036E-2</v>
      </c>
      <c r="R461" s="12">
        <f t="shared" si="86"/>
        <v>0.15319278948976475</v>
      </c>
      <c r="S461" s="12">
        <f t="shared" si="87"/>
        <v>0.24674610449129239</v>
      </c>
      <c r="T461" s="12">
        <f t="shared" si="88"/>
        <v>0.38234036052551174</v>
      </c>
      <c r="U461" s="13">
        <f t="shared" si="89"/>
        <v>3.1952636282394997</v>
      </c>
      <c r="V461" s="13">
        <f t="shared" si="90"/>
        <v>18.432401689501784</v>
      </c>
      <c r="W461" s="12">
        <f t="shared" si="91"/>
        <v>0.2213498414615733</v>
      </c>
      <c r="X461" s="12">
        <f t="shared" si="92"/>
        <v>0.18787395293179099</v>
      </c>
      <c r="Y461" s="13">
        <f t="shared" si="93"/>
        <v>39.777234791990608</v>
      </c>
      <c r="Z461" s="13">
        <f t="shared" si="94"/>
        <v>27.204399665819704</v>
      </c>
      <c r="AA461" s="13">
        <f t="shared" si="95"/>
        <v>63021618.903971843</v>
      </c>
    </row>
    <row r="462" spans="1:27" x14ac:dyDescent="0.25">
      <c r="A462" s="10" t="s">
        <v>521</v>
      </c>
      <c r="B462" s="11">
        <v>7806000000</v>
      </c>
      <c r="C462" s="11">
        <v>28986000000</v>
      </c>
      <c r="D462" s="11"/>
      <c r="E462" s="11"/>
      <c r="F462" s="11"/>
      <c r="G462" s="11"/>
      <c r="H462" s="11">
        <v>62941000000</v>
      </c>
      <c r="I462" s="11">
        <v>700998000000</v>
      </c>
      <c r="J462" s="11">
        <v>43074000000</v>
      </c>
      <c r="K462" s="11"/>
      <c r="L462" s="11"/>
      <c r="M462" s="11">
        <v>3197000000</v>
      </c>
      <c r="N462" s="11">
        <v>5.0199999999999996</v>
      </c>
      <c r="O462" s="11">
        <v>1555000000</v>
      </c>
      <c r="P462" s="12">
        <f t="shared" si="84"/>
        <v>0.12402090846983684</v>
      </c>
      <c r="Q462" s="12">
        <f t="shared" si="85"/>
        <v>1.1135552455213853E-2</v>
      </c>
      <c r="R462" s="12">
        <f t="shared" si="86"/>
        <v>0.26930242185882841</v>
      </c>
      <c r="S462" s="12">
        <f t="shared" si="87"/>
        <v>0</v>
      </c>
      <c r="T462" s="12">
        <f t="shared" si="88"/>
        <v>0</v>
      </c>
      <c r="U462" s="13" t="str">
        <f t="shared" si="89"/>
        <v/>
      </c>
      <c r="V462" s="13" t="str">
        <f t="shared" si="90"/>
        <v/>
      </c>
      <c r="W462" s="12">
        <f t="shared" si="91"/>
        <v>0</v>
      </c>
      <c r="X462" s="12">
        <f t="shared" si="92"/>
        <v>0.40955675121701257</v>
      </c>
      <c r="Y462" s="13">
        <f t="shared" si="93"/>
        <v>5.0199356913183282</v>
      </c>
      <c r="Z462" s="13">
        <f t="shared" si="94"/>
        <v>0</v>
      </c>
      <c r="AA462" s="13">
        <f t="shared" si="95"/>
        <v>1554980079.6812751</v>
      </c>
    </row>
    <row r="463" spans="1:27" x14ac:dyDescent="0.25">
      <c r="A463" s="10" t="s">
        <v>522</v>
      </c>
      <c r="B463" s="11">
        <v>22236000000</v>
      </c>
      <c r="C463" s="11">
        <v>21846000000</v>
      </c>
      <c r="D463" s="11"/>
      <c r="E463" s="11">
        <v>26296000000</v>
      </c>
      <c r="F463" s="11">
        <v>27588000000</v>
      </c>
      <c r="G463" s="11">
        <v>21185000000</v>
      </c>
      <c r="H463" s="11"/>
      <c r="I463" s="11">
        <v>95049000000</v>
      </c>
      <c r="J463" s="11">
        <v>20920000000</v>
      </c>
      <c r="K463" s="11"/>
      <c r="L463" s="11">
        <v>662187214374.65002</v>
      </c>
      <c r="M463" s="11">
        <v>4879000000</v>
      </c>
      <c r="N463" s="11"/>
      <c r="O463" s="11"/>
      <c r="P463" s="12" t="str">
        <f t="shared" si="84"/>
        <v/>
      </c>
      <c r="Q463" s="12">
        <f t="shared" si="85"/>
        <v>0.23394249281949311</v>
      </c>
      <c r="R463" s="12">
        <f t="shared" si="86"/>
        <v>1.0178522383960451</v>
      </c>
      <c r="S463" s="12">
        <f t="shared" si="87"/>
        <v>1.2036986175958986</v>
      </c>
      <c r="T463" s="12">
        <f t="shared" si="88"/>
        <v>0</v>
      </c>
      <c r="U463" s="13">
        <f t="shared" si="89"/>
        <v>0.75830071045382053</v>
      </c>
      <c r="V463" s="13">
        <f t="shared" si="90"/>
        <v>24.761027054322533</v>
      </c>
      <c r="W463" s="12">
        <f t="shared" si="91"/>
        <v>1.0126673040152965</v>
      </c>
      <c r="X463" s="12">
        <f t="shared" si="92"/>
        <v>0.21941896024464833</v>
      </c>
      <c r="Y463" s="13" t="str">
        <f t="shared" si="93"/>
        <v/>
      </c>
      <c r="Z463" s="13">
        <f t="shared" si="94"/>
        <v>29.779961070995235</v>
      </c>
      <c r="AA463" s="13" t="str">
        <f t="shared" si="95"/>
        <v/>
      </c>
    </row>
    <row r="464" spans="1:27" x14ac:dyDescent="0.25">
      <c r="A464" s="10" t="s">
        <v>523</v>
      </c>
      <c r="B464" s="11">
        <v>941652000</v>
      </c>
      <c r="C464" s="11"/>
      <c r="D464" s="11"/>
      <c r="E464" s="11"/>
      <c r="F464" s="11">
        <v>961749000</v>
      </c>
      <c r="G464" s="11"/>
      <c r="H464" s="11">
        <v>6757726000</v>
      </c>
      <c r="I464" s="11">
        <v>9129558000</v>
      </c>
      <c r="J464" s="11"/>
      <c r="K464" s="11"/>
      <c r="L464" s="11">
        <v>30815491806.959999</v>
      </c>
      <c r="M464" s="11"/>
      <c r="N464" s="11">
        <v>5.67</v>
      </c>
      <c r="O464" s="11">
        <v>165989000</v>
      </c>
      <c r="P464" s="12">
        <f t="shared" si="84"/>
        <v>0.13934450730911552</v>
      </c>
      <c r="Q464" s="12">
        <f t="shared" si="85"/>
        <v>0.10314321898168564</v>
      </c>
      <c r="R464" s="12" t="str">
        <f t="shared" si="86"/>
        <v/>
      </c>
      <c r="S464" s="12" t="str">
        <f t="shared" si="87"/>
        <v/>
      </c>
      <c r="T464" s="12" t="str">
        <f t="shared" si="88"/>
        <v/>
      </c>
      <c r="U464" s="13">
        <f t="shared" si="89"/>
        <v>0</v>
      </c>
      <c r="V464" s="13">
        <f t="shared" si="90"/>
        <v>32.041095760910594</v>
      </c>
      <c r="W464" s="12">
        <f t="shared" si="91"/>
        <v>0</v>
      </c>
      <c r="X464" s="12">
        <f t="shared" si="92"/>
        <v>0</v>
      </c>
      <c r="Y464" s="13">
        <f t="shared" si="93"/>
        <v>5.6729783298893297</v>
      </c>
      <c r="Z464" s="13">
        <f t="shared" si="94"/>
        <v>32.724925776146598</v>
      </c>
      <c r="AA464" s="13">
        <f t="shared" si="95"/>
        <v>166076190.47619048</v>
      </c>
    </row>
    <row r="465" spans="1:27" x14ac:dyDescent="0.25">
      <c r="A465" s="10" t="s">
        <v>524</v>
      </c>
      <c r="B465" s="11">
        <v>3104276000</v>
      </c>
      <c r="C465" s="11">
        <v>4040433000</v>
      </c>
      <c r="D465" s="11"/>
      <c r="E465" s="11">
        <v>321018000</v>
      </c>
      <c r="F465" s="11">
        <v>324626000</v>
      </c>
      <c r="G465" s="11"/>
      <c r="H465" s="11">
        <v>27398911000</v>
      </c>
      <c r="I465" s="11">
        <v>47089674000</v>
      </c>
      <c r="J465" s="11">
        <v>16787100000</v>
      </c>
      <c r="K465" s="11"/>
      <c r="L465" s="11">
        <v>28551009584.93</v>
      </c>
      <c r="M465" s="11">
        <v>1875872000</v>
      </c>
      <c r="N465" s="11">
        <v>2.91</v>
      </c>
      <c r="O465" s="11">
        <v>1068527584</v>
      </c>
      <c r="P465" s="12">
        <f t="shared" si="84"/>
        <v>0.11329924755038621</v>
      </c>
      <c r="Q465" s="12">
        <f t="shared" si="85"/>
        <v>6.592264792489326E-2</v>
      </c>
      <c r="R465" s="12">
        <f t="shared" si="86"/>
        <v>0.76830280318965816</v>
      </c>
      <c r="S465" s="12">
        <f t="shared" si="87"/>
        <v>7.9451385532194205E-2</v>
      </c>
      <c r="T465" s="12">
        <f t="shared" si="88"/>
        <v>0</v>
      </c>
      <c r="U465" s="13">
        <f t="shared" si="89"/>
        <v>51.712124105894169</v>
      </c>
      <c r="V465" s="13">
        <f t="shared" si="90"/>
        <v>139.66259506302637</v>
      </c>
      <c r="W465" s="12">
        <f t="shared" si="91"/>
        <v>0</v>
      </c>
      <c r="X465" s="12">
        <f t="shared" si="92"/>
        <v>0.60428647452739381</v>
      </c>
      <c r="Y465" s="13">
        <f t="shared" si="93"/>
        <v>2.9051903259055218</v>
      </c>
      <c r="Z465" s="13">
        <f t="shared" si="94"/>
        <v>9.1973167285801907</v>
      </c>
      <c r="AA465" s="13">
        <f t="shared" si="95"/>
        <v>1066761512.0274913</v>
      </c>
    </row>
    <row r="466" spans="1:27" x14ac:dyDescent="0.25">
      <c r="A466" s="10" t="s">
        <v>525</v>
      </c>
      <c r="B466" s="11">
        <v>4206000000</v>
      </c>
      <c r="C466" s="11"/>
      <c r="D466" s="11"/>
      <c r="E466" s="11"/>
      <c r="F466" s="11">
        <v>5876000000</v>
      </c>
      <c r="G466" s="11">
        <v>4242000000</v>
      </c>
      <c r="H466" s="11">
        <v>23680000000</v>
      </c>
      <c r="I466" s="11">
        <v>62142000000</v>
      </c>
      <c r="J466" s="11">
        <v>8261000000</v>
      </c>
      <c r="K466" s="11"/>
      <c r="L466" s="11">
        <v>83512344937.5</v>
      </c>
      <c r="M466" s="11">
        <v>1408000000</v>
      </c>
      <c r="N466" s="11">
        <v>14.11</v>
      </c>
      <c r="O466" s="11">
        <v>298000000</v>
      </c>
      <c r="P466" s="12">
        <f t="shared" si="84"/>
        <v>0.17761824324324324</v>
      </c>
      <c r="Q466" s="12">
        <f t="shared" si="85"/>
        <v>6.768369218885778E-2</v>
      </c>
      <c r="R466" s="12" t="str">
        <f t="shared" si="86"/>
        <v/>
      </c>
      <c r="S466" s="12" t="str">
        <f t="shared" si="87"/>
        <v/>
      </c>
      <c r="T466" s="12" t="str">
        <f t="shared" si="88"/>
        <v/>
      </c>
      <c r="U466" s="13">
        <f t="shared" si="89"/>
        <v>1.4058883594281824</v>
      </c>
      <c r="V466" s="13">
        <f t="shared" si="90"/>
        <v>15.618336442733153</v>
      </c>
      <c r="W466" s="12">
        <f t="shared" si="91"/>
        <v>0.13280736357659434</v>
      </c>
      <c r="X466" s="12">
        <f t="shared" si="92"/>
        <v>0.33475986685687115</v>
      </c>
      <c r="Y466" s="13">
        <f t="shared" si="93"/>
        <v>14.114093959731544</v>
      </c>
      <c r="Z466" s="13">
        <f t="shared" si="94"/>
        <v>19.855526613766049</v>
      </c>
      <c r="AA466" s="13">
        <f t="shared" si="95"/>
        <v>298086463.50106311</v>
      </c>
    </row>
    <row r="467" spans="1:27" x14ac:dyDescent="0.25">
      <c r="A467" s="10" t="s">
        <v>526</v>
      </c>
      <c r="B467" s="11">
        <v>969000000</v>
      </c>
      <c r="C467" s="11">
        <v>5593000000</v>
      </c>
      <c r="D467" s="11">
        <v>3348000000</v>
      </c>
      <c r="E467" s="11">
        <v>1293000000</v>
      </c>
      <c r="F467" s="11">
        <v>1376000000</v>
      </c>
      <c r="G467" s="11">
        <v>1042000000</v>
      </c>
      <c r="H467" s="11">
        <v>2653500000</v>
      </c>
      <c r="I467" s="11">
        <v>7653000000</v>
      </c>
      <c r="J467" s="11">
        <v>2662000000</v>
      </c>
      <c r="K467" s="11"/>
      <c r="L467" s="11">
        <v>22619692023.849998</v>
      </c>
      <c r="M467" s="11">
        <v>114000000</v>
      </c>
      <c r="N467" s="11">
        <v>3.89</v>
      </c>
      <c r="O467" s="11">
        <v>249200000</v>
      </c>
      <c r="P467" s="12">
        <f t="shared" si="84"/>
        <v>0.36517806670435277</v>
      </c>
      <c r="Q467" s="12">
        <f t="shared" si="85"/>
        <v>0.1266170129361035</v>
      </c>
      <c r="R467" s="12">
        <f t="shared" si="86"/>
        <v>0.17325227963525835</v>
      </c>
      <c r="S467" s="12">
        <f t="shared" si="87"/>
        <v>0.23118183443590201</v>
      </c>
      <c r="T467" s="12">
        <f t="shared" si="88"/>
        <v>0.59860539960665116</v>
      </c>
      <c r="U467" s="13">
        <f t="shared" si="89"/>
        <v>1.9345930232558139</v>
      </c>
      <c r="V467" s="13">
        <f t="shared" si="90"/>
        <v>18.373322691751451</v>
      </c>
      <c r="W467" s="12">
        <f t="shared" si="91"/>
        <v>0.1960304769071583</v>
      </c>
      <c r="X467" s="12">
        <f t="shared" si="92"/>
        <v>0.11764705882352941</v>
      </c>
      <c r="Y467" s="13">
        <f t="shared" si="93"/>
        <v>3.8884430176565008</v>
      </c>
      <c r="Z467" s="13">
        <f t="shared" si="94"/>
        <v>23.343335421929822</v>
      </c>
      <c r="AA467" s="13">
        <f t="shared" si="95"/>
        <v>249100257.06940874</v>
      </c>
    </row>
    <row r="468" spans="1:27" x14ac:dyDescent="0.25">
      <c r="A468" s="10" t="s">
        <v>527</v>
      </c>
      <c r="B468" s="11">
        <v>1113300000</v>
      </c>
      <c r="C468" s="11">
        <v>7781900000</v>
      </c>
      <c r="D468" s="11">
        <v>2232000000</v>
      </c>
      <c r="E468" s="11">
        <v>1658600000</v>
      </c>
      <c r="F468" s="11">
        <v>2391000000</v>
      </c>
      <c r="G468" s="11">
        <v>1116400000</v>
      </c>
      <c r="H468" s="11">
        <v>8292700000</v>
      </c>
      <c r="I468" s="11">
        <v>16672900000</v>
      </c>
      <c r="J468" s="11">
        <v>4363000000</v>
      </c>
      <c r="K468" s="11"/>
      <c r="L468" s="11">
        <v>37464129371.580002</v>
      </c>
      <c r="M468" s="11">
        <v>261700000</v>
      </c>
      <c r="N468" s="11">
        <v>8.49</v>
      </c>
      <c r="O468" s="11">
        <v>131200000</v>
      </c>
      <c r="P468" s="12">
        <f t="shared" si="84"/>
        <v>0.13425060595463481</v>
      </c>
      <c r="Q468" s="12">
        <f t="shared" si="85"/>
        <v>6.6773026887943912E-2</v>
      </c>
      <c r="R468" s="12">
        <f t="shared" si="86"/>
        <v>0.14306274817204026</v>
      </c>
      <c r="S468" s="12">
        <f t="shared" si="87"/>
        <v>0.21313560955550701</v>
      </c>
      <c r="T468" s="12">
        <f t="shared" si="88"/>
        <v>0.2868194142818592</v>
      </c>
      <c r="U468" s="13">
        <f t="shared" si="89"/>
        <v>1.8247595148473441</v>
      </c>
      <c r="V468" s="13">
        <f t="shared" si="90"/>
        <v>17.49357146448348</v>
      </c>
      <c r="W468" s="12">
        <f t="shared" si="91"/>
        <v>8.8213216179270998E-2</v>
      </c>
      <c r="X468" s="12">
        <f t="shared" si="92"/>
        <v>0.23506691817120273</v>
      </c>
      <c r="Y468" s="13">
        <f t="shared" si="93"/>
        <v>8.4855182926829276</v>
      </c>
      <c r="Z468" s="13">
        <f t="shared" si="94"/>
        <v>33.651423130854219</v>
      </c>
      <c r="AA468" s="13">
        <f t="shared" si="95"/>
        <v>131130742.04946996</v>
      </c>
    </row>
    <row r="469" spans="1:27" x14ac:dyDescent="0.25">
      <c r="A469" s="10" t="s">
        <v>528</v>
      </c>
      <c r="B469" s="11">
        <v>910200000</v>
      </c>
      <c r="C469" s="11">
        <v>3102300000</v>
      </c>
      <c r="D469" s="11"/>
      <c r="E469" s="11">
        <v>1366000000</v>
      </c>
      <c r="F469" s="11">
        <v>1627700000</v>
      </c>
      <c r="G469" s="11">
        <v>1127300000</v>
      </c>
      <c r="H469" s="11">
        <v>-522350000</v>
      </c>
      <c r="I469" s="11">
        <v>4598400000</v>
      </c>
      <c r="J469" s="11">
        <v>4773500000</v>
      </c>
      <c r="K469" s="11"/>
      <c r="L469" s="11">
        <v>24502393578.68</v>
      </c>
      <c r="M469" s="11"/>
      <c r="N469" s="11">
        <v>6.73</v>
      </c>
      <c r="O469" s="11">
        <v>135222570</v>
      </c>
      <c r="P469" s="12">
        <f t="shared" si="84"/>
        <v>-1.7425098114291184</v>
      </c>
      <c r="Q469" s="12">
        <f t="shared" si="85"/>
        <v>0.1979384133611691</v>
      </c>
      <c r="R469" s="12">
        <f t="shared" si="86"/>
        <v>0.29339522289913933</v>
      </c>
      <c r="S469" s="12">
        <f t="shared" si="87"/>
        <v>0.44031847339071012</v>
      </c>
      <c r="T469" s="12">
        <f t="shared" si="88"/>
        <v>0</v>
      </c>
      <c r="U469" s="13">
        <f t="shared" si="89"/>
        <v>2.932665724642133</v>
      </c>
      <c r="V469" s="13">
        <f t="shared" si="90"/>
        <v>17.98604999611722</v>
      </c>
      <c r="W469" s="12">
        <f t="shared" si="91"/>
        <v>0.26517530550556906</v>
      </c>
      <c r="X469" s="12">
        <f t="shared" si="92"/>
        <v>0</v>
      </c>
      <c r="Y469" s="13">
        <f t="shared" si="93"/>
        <v>6.7311248410675821</v>
      </c>
      <c r="Z469" s="13">
        <f t="shared" si="94"/>
        <v>26.919790791782027</v>
      </c>
      <c r="AA469" s="13">
        <f t="shared" si="95"/>
        <v>135245170.87667161</v>
      </c>
    </row>
    <row r="470" spans="1:27" x14ac:dyDescent="0.25">
      <c r="A470" s="10" t="s">
        <v>529</v>
      </c>
      <c r="B470" s="11"/>
      <c r="C470" s="11">
        <v>1683200000</v>
      </c>
      <c r="D470" s="11"/>
      <c r="E470" s="11">
        <v>1143400000</v>
      </c>
      <c r="F470" s="11">
        <v>1172100000</v>
      </c>
      <c r="G470" s="11">
        <v>1048000000</v>
      </c>
      <c r="H470" s="11">
        <v>-2095200000</v>
      </c>
      <c r="I470" s="11">
        <v>1297200000</v>
      </c>
      <c r="J470" s="11"/>
      <c r="K470" s="11"/>
      <c r="L470" s="11">
        <v>24568180999.759998</v>
      </c>
      <c r="M470" s="11"/>
      <c r="N470" s="11"/>
      <c r="O470" s="11"/>
      <c r="P470" s="12">
        <f t="shared" si="84"/>
        <v>0</v>
      </c>
      <c r="Q470" s="12">
        <f t="shared" si="85"/>
        <v>0</v>
      </c>
      <c r="R470" s="12">
        <f t="shared" si="86"/>
        <v>0</v>
      </c>
      <c r="S470" s="12">
        <f t="shared" si="87"/>
        <v>0.6793013307984791</v>
      </c>
      <c r="T470" s="12">
        <f t="shared" si="88"/>
        <v>0</v>
      </c>
      <c r="U470" s="13">
        <f t="shared" si="89"/>
        <v>0</v>
      </c>
      <c r="V470" s="13">
        <f t="shared" si="90"/>
        <v>20.960823308386654</v>
      </c>
      <c r="W470" s="12">
        <f t="shared" si="91"/>
        <v>-0.50019091256204662</v>
      </c>
      <c r="X470" s="12" t="str">
        <f t="shared" si="92"/>
        <v/>
      </c>
      <c r="Y470" s="13" t="str">
        <f t="shared" si="93"/>
        <v/>
      </c>
      <c r="Z470" s="13" t="str">
        <f t="shared" si="94"/>
        <v/>
      </c>
      <c r="AA470" s="13" t="str">
        <f t="shared" si="95"/>
        <v/>
      </c>
    </row>
    <row r="471" spans="1:27" x14ac:dyDescent="0.25">
      <c r="A471" s="10" t="s">
        <v>530</v>
      </c>
      <c r="B471" s="11">
        <v>1558400000</v>
      </c>
      <c r="C471" s="11">
        <v>10843400000</v>
      </c>
      <c r="D471" s="11"/>
      <c r="E471" s="11">
        <v>1979100000</v>
      </c>
      <c r="F471" s="11">
        <v>2323800000</v>
      </c>
      <c r="G471" s="11">
        <v>2281200000</v>
      </c>
      <c r="H471" s="11">
        <v>3455650000</v>
      </c>
      <c r="I471" s="11">
        <v>13400100000</v>
      </c>
      <c r="J471" s="11">
        <v>2922200000</v>
      </c>
      <c r="K471" s="11"/>
      <c r="L471" s="11">
        <v>124420532836.42999</v>
      </c>
      <c r="M471" s="11">
        <v>76300000</v>
      </c>
      <c r="N471" s="11">
        <v>3.97</v>
      </c>
      <c r="O471" s="11">
        <v>392128170</v>
      </c>
      <c r="P471" s="12">
        <f t="shared" si="84"/>
        <v>0.45097159723930375</v>
      </c>
      <c r="Q471" s="12">
        <f t="shared" si="85"/>
        <v>0.11629763956985395</v>
      </c>
      <c r="R471" s="12">
        <f t="shared" si="86"/>
        <v>0.14371875979858717</v>
      </c>
      <c r="S471" s="12">
        <f t="shared" si="87"/>
        <v>0.18251655384842391</v>
      </c>
      <c r="T471" s="12">
        <f t="shared" si="88"/>
        <v>0</v>
      </c>
      <c r="U471" s="13">
        <f t="shared" si="89"/>
        <v>1.2575092520870987</v>
      </c>
      <c r="V471" s="13">
        <f t="shared" si="90"/>
        <v>54.799351422854805</v>
      </c>
      <c r="W471" s="12">
        <f t="shared" si="91"/>
        <v>0.35767539217761474</v>
      </c>
      <c r="X471" s="12">
        <f t="shared" si="92"/>
        <v>4.8960472279260779E-2</v>
      </c>
      <c r="Y471" s="13">
        <f t="shared" si="93"/>
        <v>3.9742107790929686</v>
      </c>
      <c r="Z471" s="13">
        <f t="shared" si="94"/>
        <v>79.83863760037859</v>
      </c>
      <c r="AA471" s="13">
        <f t="shared" si="95"/>
        <v>392544080.60453397</v>
      </c>
    </row>
    <row r="472" spans="1:27" x14ac:dyDescent="0.25">
      <c r="A472" s="10" t="s">
        <v>531</v>
      </c>
      <c r="B472" s="11">
        <v>4338300000</v>
      </c>
      <c r="C472" s="11">
        <v>12218000000</v>
      </c>
      <c r="D472" s="11"/>
      <c r="E472" s="11">
        <v>4681300000</v>
      </c>
      <c r="F472" s="11">
        <v>4898600000</v>
      </c>
      <c r="G472" s="11">
        <v>3710300000</v>
      </c>
      <c r="H472" s="11">
        <v>17929100000</v>
      </c>
      <c r="I472" s="11">
        <v>26484400000</v>
      </c>
      <c r="J472" s="11"/>
      <c r="K472" s="11"/>
      <c r="L472" s="11">
        <v>126014389540.5</v>
      </c>
      <c r="M472" s="11"/>
      <c r="N472" s="11">
        <v>16.93</v>
      </c>
      <c r="O472" s="11">
        <v>256300000</v>
      </c>
      <c r="P472" s="12">
        <f t="shared" si="84"/>
        <v>0.24196975866050163</v>
      </c>
      <c r="Q472" s="12">
        <f t="shared" si="85"/>
        <v>0.16380586307411155</v>
      </c>
      <c r="R472" s="12">
        <f t="shared" si="86"/>
        <v>0.3550744802750041</v>
      </c>
      <c r="S472" s="12">
        <f t="shared" si="87"/>
        <v>0.3831478146996235</v>
      </c>
      <c r="T472" s="12">
        <f t="shared" si="88"/>
        <v>0</v>
      </c>
      <c r="U472" s="13">
        <f t="shared" si="89"/>
        <v>0</v>
      </c>
      <c r="V472" s="13">
        <f t="shared" si="90"/>
        <v>25.724572232984933</v>
      </c>
      <c r="W472" s="12">
        <f t="shared" si="91"/>
        <v>0.20694290287856054</v>
      </c>
      <c r="X472" s="12">
        <f t="shared" si="92"/>
        <v>0</v>
      </c>
      <c r="Y472" s="13">
        <f t="shared" si="93"/>
        <v>16.926648458837299</v>
      </c>
      <c r="Z472" s="13">
        <f t="shared" si="94"/>
        <v>29.046951464974761</v>
      </c>
      <c r="AA472" s="13">
        <f t="shared" si="95"/>
        <v>256249261.66568223</v>
      </c>
    </row>
    <row r="473" spans="1:27" x14ac:dyDescent="0.25">
      <c r="A473" s="10" t="s">
        <v>532</v>
      </c>
      <c r="B473" s="11">
        <v>2241000000</v>
      </c>
      <c r="C473" s="11">
        <v>19445000000</v>
      </c>
      <c r="D473" s="11"/>
      <c r="E473" s="11">
        <v>3525000000</v>
      </c>
      <c r="F473" s="11">
        <v>5473000000</v>
      </c>
      <c r="G473" s="11">
        <v>1803000000</v>
      </c>
      <c r="H473" s="11">
        <v>5211000000</v>
      </c>
      <c r="I473" s="11">
        <v>41308000000</v>
      </c>
      <c r="J473" s="11">
        <v>19163000000</v>
      </c>
      <c r="K473" s="11"/>
      <c r="L473" s="11">
        <v>53268084854.040001</v>
      </c>
      <c r="M473" s="11">
        <v>300000000</v>
      </c>
      <c r="N473" s="11">
        <v>6.56</v>
      </c>
      <c r="O473" s="11">
        <v>341856774</v>
      </c>
      <c r="P473" s="12">
        <f t="shared" si="84"/>
        <v>0.43005181347150256</v>
      </c>
      <c r="Q473" s="12">
        <f t="shared" si="85"/>
        <v>5.4250992543817177E-2</v>
      </c>
      <c r="R473" s="12">
        <f t="shared" si="86"/>
        <v>0.1152481357675495</v>
      </c>
      <c r="S473" s="12">
        <f t="shared" si="87"/>
        <v>0.18128053484186166</v>
      </c>
      <c r="T473" s="12">
        <f t="shared" si="88"/>
        <v>0</v>
      </c>
      <c r="U473" s="13">
        <f t="shared" si="89"/>
        <v>3.5013703636031428</v>
      </c>
      <c r="V473" s="13">
        <f t="shared" si="90"/>
        <v>13.23425632268226</v>
      </c>
      <c r="W473" s="12">
        <f t="shared" si="91"/>
        <v>7.3972265528842215E-2</v>
      </c>
      <c r="X473" s="12">
        <f t="shared" si="92"/>
        <v>0.13386880856760375</v>
      </c>
      <c r="Y473" s="13">
        <f t="shared" si="93"/>
        <v>6.5553769017898702</v>
      </c>
      <c r="Z473" s="13">
        <f t="shared" si="94"/>
        <v>23.769783513627846</v>
      </c>
      <c r="AA473" s="13">
        <f t="shared" si="95"/>
        <v>341615853.65853661</v>
      </c>
    </row>
    <row r="474" spans="1:27" x14ac:dyDescent="0.25">
      <c r="A474" s="10" t="s">
        <v>533</v>
      </c>
      <c r="B474" s="11">
        <v>272208000</v>
      </c>
      <c r="C474" s="11">
        <v>6132850000</v>
      </c>
      <c r="D474" s="11"/>
      <c r="E474" s="11"/>
      <c r="F474" s="11"/>
      <c r="G474" s="11">
        <v>-1207880000</v>
      </c>
      <c r="H474" s="11">
        <v>12297260500</v>
      </c>
      <c r="I474" s="11">
        <v>27686545000</v>
      </c>
      <c r="J474" s="11">
        <v>13011016000</v>
      </c>
      <c r="K474" s="11"/>
      <c r="L474" s="11">
        <v>44601209349.449997</v>
      </c>
      <c r="M474" s="11">
        <v>891223000</v>
      </c>
      <c r="N474" s="11">
        <v>0.56000000000000005</v>
      </c>
      <c r="O474" s="11">
        <v>486715000</v>
      </c>
      <c r="P474" s="12">
        <f t="shared" si="84"/>
        <v>2.2135661841106807E-2</v>
      </c>
      <c r="Q474" s="12">
        <f t="shared" si="85"/>
        <v>9.8317792992950181E-3</v>
      </c>
      <c r="R474" s="12">
        <f t="shared" si="86"/>
        <v>4.4385236880080225E-2</v>
      </c>
      <c r="S474" s="12">
        <f t="shared" si="87"/>
        <v>0</v>
      </c>
      <c r="T474" s="12">
        <f t="shared" si="88"/>
        <v>0</v>
      </c>
      <c r="U474" s="13" t="str">
        <f t="shared" si="89"/>
        <v/>
      </c>
      <c r="V474" s="13" t="str">
        <f t="shared" si="90"/>
        <v/>
      </c>
      <c r="W474" s="12">
        <f t="shared" si="91"/>
        <v>-4.772667945207569E-2</v>
      </c>
      <c r="X474" s="12">
        <f t="shared" si="92"/>
        <v>3.27405146064774</v>
      </c>
      <c r="Y474" s="13">
        <f t="shared" si="93"/>
        <v>0.55927596231881083</v>
      </c>
      <c r="Z474" s="13">
        <f t="shared" si="94"/>
        <v>163.84973751487831</v>
      </c>
      <c r="AA474" s="13">
        <f t="shared" si="95"/>
        <v>486085714.28571427</v>
      </c>
    </row>
    <row r="475" spans="1:27" x14ac:dyDescent="0.25">
      <c r="A475" s="10" t="s">
        <v>534</v>
      </c>
      <c r="B475" s="11"/>
      <c r="C475" s="11">
        <v>14562600000</v>
      </c>
      <c r="D475" s="11">
        <v>5009500000</v>
      </c>
      <c r="E475" s="11">
        <v>139400000</v>
      </c>
      <c r="F475" s="11">
        <v>2949100000</v>
      </c>
      <c r="G475" s="11">
        <v>1792600000</v>
      </c>
      <c r="H475" s="11">
        <v>-201000000</v>
      </c>
      <c r="I475" s="11">
        <v>36834600000</v>
      </c>
      <c r="J475" s="11">
        <v>11535000000</v>
      </c>
      <c r="K475" s="11"/>
      <c r="L475" s="11">
        <v>19028790544.060001</v>
      </c>
      <c r="M475" s="11"/>
      <c r="N475" s="11"/>
      <c r="O475" s="11"/>
      <c r="P475" s="12">
        <f t="shared" si="84"/>
        <v>0</v>
      </c>
      <c r="Q475" s="12">
        <f t="shared" si="85"/>
        <v>0</v>
      </c>
      <c r="R475" s="12">
        <f t="shared" si="86"/>
        <v>0</v>
      </c>
      <c r="S475" s="12">
        <f t="shared" si="87"/>
        <v>9.5724664551659726E-3</v>
      </c>
      <c r="T475" s="12">
        <f t="shared" si="88"/>
        <v>0.34399763778446157</v>
      </c>
      <c r="U475" s="13">
        <f t="shared" si="89"/>
        <v>3.9113627886473838</v>
      </c>
      <c r="V475" s="13">
        <f t="shared" si="90"/>
        <v>10.363768791855144</v>
      </c>
      <c r="W475" s="12">
        <f t="shared" si="91"/>
        <v>0.15816128463031587</v>
      </c>
      <c r="X475" s="12" t="str">
        <f t="shared" si="92"/>
        <v/>
      </c>
      <c r="Y475" s="13" t="str">
        <f t="shared" si="93"/>
        <v/>
      </c>
      <c r="Z475" s="13" t="str">
        <f t="shared" si="94"/>
        <v/>
      </c>
      <c r="AA475" s="13" t="str">
        <f t="shared" si="95"/>
        <v/>
      </c>
    </row>
    <row r="476" spans="1:27" x14ac:dyDescent="0.25">
      <c r="A476" s="10" t="s">
        <v>535</v>
      </c>
      <c r="B476" s="11">
        <v>17340000000</v>
      </c>
      <c r="C476" s="11">
        <v>139146000000</v>
      </c>
      <c r="D476" s="11"/>
      <c r="E476" s="11">
        <v>29523000000</v>
      </c>
      <c r="F476" s="11">
        <v>48187000000</v>
      </c>
      <c r="G476" s="11"/>
      <c r="H476" s="11"/>
      <c r="I476" s="11">
        <v>417882000000</v>
      </c>
      <c r="J476" s="11"/>
      <c r="K476" s="11"/>
      <c r="L476" s="11">
        <v>176375615366.94</v>
      </c>
      <c r="M476" s="11">
        <v>11535000000</v>
      </c>
      <c r="N476" s="11">
        <v>4.12</v>
      </c>
      <c r="O476" s="11">
        <v>4210000000</v>
      </c>
      <c r="P476" s="12" t="str">
        <f t="shared" si="84"/>
        <v/>
      </c>
      <c r="Q476" s="12">
        <f t="shared" si="85"/>
        <v>4.1494967478857669E-2</v>
      </c>
      <c r="R476" s="12">
        <f t="shared" si="86"/>
        <v>0.12461730843861843</v>
      </c>
      <c r="S476" s="12">
        <f t="shared" si="87"/>
        <v>0.21217282566512871</v>
      </c>
      <c r="T476" s="12">
        <f t="shared" si="88"/>
        <v>0</v>
      </c>
      <c r="U476" s="13">
        <f t="shared" si="89"/>
        <v>0</v>
      </c>
      <c r="V476" s="13">
        <f t="shared" si="90"/>
        <v>3.6602323316857244</v>
      </c>
      <c r="W476" s="12" t="str">
        <f t="shared" si="91"/>
        <v/>
      </c>
      <c r="X476" s="12">
        <f t="shared" si="92"/>
        <v>0.66522491349480972</v>
      </c>
      <c r="Y476" s="13">
        <f t="shared" si="93"/>
        <v>4.1187648456057007</v>
      </c>
      <c r="Z476" s="13">
        <f t="shared" si="94"/>
        <v>10.171604115740484</v>
      </c>
      <c r="AA476" s="13">
        <f t="shared" si="95"/>
        <v>4208737864.0776696</v>
      </c>
    </row>
    <row r="477" spans="1:27" x14ac:dyDescent="0.25">
      <c r="A477" s="10" t="s">
        <v>536</v>
      </c>
      <c r="B477" s="11">
        <v>1210000000</v>
      </c>
      <c r="C477" s="11">
        <v>11507000000</v>
      </c>
      <c r="D477" s="11">
        <v>3967000000</v>
      </c>
      <c r="E477" s="11">
        <v>1836000000</v>
      </c>
      <c r="F477" s="11">
        <v>2356000000</v>
      </c>
      <c r="G477" s="11">
        <v>1505000000</v>
      </c>
      <c r="H477" s="11">
        <v>10735500000</v>
      </c>
      <c r="I477" s="11">
        <v>23196000000</v>
      </c>
      <c r="J477" s="11">
        <v>6538000000</v>
      </c>
      <c r="K477" s="11"/>
      <c r="L477" s="11">
        <v>44077082306.290001</v>
      </c>
      <c r="M477" s="11">
        <v>183000000</v>
      </c>
      <c r="N477" s="11">
        <v>7.09</v>
      </c>
      <c r="O477" s="11">
        <v>170700000</v>
      </c>
      <c r="P477" s="12">
        <f t="shared" si="84"/>
        <v>0.11271016720227284</v>
      </c>
      <c r="Q477" s="12">
        <f t="shared" si="85"/>
        <v>5.2164166235557856E-2</v>
      </c>
      <c r="R477" s="12">
        <f t="shared" si="86"/>
        <v>0.10515338489615017</v>
      </c>
      <c r="S477" s="12">
        <f t="shared" si="87"/>
        <v>0.15955505344572868</v>
      </c>
      <c r="T477" s="12">
        <f t="shared" si="88"/>
        <v>0.34474667593638653</v>
      </c>
      <c r="U477" s="13">
        <f t="shared" si="89"/>
        <v>2.7750424448217319</v>
      </c>
      <c r="V477" s="13">
        <f t="shared" si="90"/>
        <v>21.483481454282682</v>
      </c>
      <c r="W477" s="12">
        <f t="shared" si="91"/>
        <v>8.7127681130054702E-2</v>
      </c>
      <c r="X477" s="12">
        <f t="shared" si="92"/>
        <v>0.15123966942148762</v>
      </c>
      <c r="Y477" s="13">
        <f t="shared" si="93"/>
        <v>7.0884592852958406</v>
      </c>
      <c r="Z477" s="13">
        <f t="shared" si="94"/>
        <v>36.427340749000003</v>
      </c>
      <c r="AA477" s="13">
        <f t="shared" si="95"/>
        <v>170662905.50070521</v>
      </c>
    </row>
    <row r="478" spans="1:27" x14ac:dyDescent="0.25">
      <c r="A478" s="10" t="s">
        <v>537</v>
      </c>
      <c r="B478" s="11">
        <v>449248000</v>
      </c>
      <c r="C478" s="11"/>
      <c r="D478" s="11"/>
      <c r="E478" s="11"/>
      <c r="F478" s="11">
        <v>706264000</v>
      </c>
      <c r="G478" s="11">
        <v>264257000</v>
      </c>
      <c r="H478" s="11">
        <v>8627000000</v>
      </c>
      <c r="I478" s="11">
        <v>24531000000</v>
      </c>
      <c r="J478" s="11">
        <v>1410000000</v>
      </c>
      <c r="K478" s="11"/>
      <c r="L478" s="11">
        <v>37028831975.57</v>
      </c>
      <c r="M478" s="11"/>
      <c r="N478" s="11">
        <v>0.01</v>
      </c>
      <c r="O478" s="11">
        <v>82139000000</v>
      </c>
      <c r="P478" s="12">
        <f t="shared" si="84"/>
        <v>5.2074649356670916E-2</v>
      </c>
      <c r="Q478" s="12">
        <f t="shared" si="85"/>
        <v>1.8313480901716195E-2</v>
      </c>
      <c r="R478" s="12" t="str">
        <f t="shared" si="86"/>
        <v/>
      </c>
      <c r="S478" s="12" t="str">
        <f t="shared" si="87"/>
        <v/>
      </c>
      <c r="T478" s="12" t="str">
        <f t="shared" si="88"/>
        <v/>
      </c>
      <c r="U478" s="13">
        <f t="shared" si="89"/>
        <v>1.9964206019278909</v>
      </c>
      <c r="V478" s="13">
        <f t="shared" si="90"/>
        <v>54.425585865299659</v>
      </c>
      <c r="W478" s="12">
        <f t="shared" si="91"/>
        <v>2.6328285344226363E-2</v>
      </c>
      <c r="X478" s="12">
        <f t="shared" si="92"/>
        <v>0</v>
      </c>
      <c r="Y478" s="13">
        <f t="shared" si="93"/>
        <v>5.4693629092148676E-3</v>
      </c>
      <c r="Z478" s="13">
        <f t="shared" si="94"/>
        <v>82.424032996407334</v>
      </c>
      <c r="AA478" s="13">
        <f t="shared" si="95"/>
        <v>44924800000</v>
      </c>
    </row>
    <row r="479" spans="1:27" x14ac:dyDescent="0.25">
      <c r="A479" s="10" t="s">
        <v>538</v>
      </c>
      <c r="B479" s="11">
        <v>-1736000000</v>
      </c>
      <c r="C479" s="11"/>
      <c r="D479" s="11"/>
      <c r="E479" s="11"/>
      <c r="F479" s="11">
        <v>3669000000</v>
      </c>
      <c r="G479" s="11">
        <v>2310000000</v>
      </c>
      <c r="H479" s="11">
        <v>33207000000</v>
      </c>
      <c r="I479" s="11">
        <v>97837000000</v>
      </c>
      <c r="J479" s="11">
        <v>32466000000</v>
      </c>
      <c r="K479" s="11"/>
      <c r="L479" s="11">
        <v>66765048270.190002</v>
      </c>
      <c r="M479" s="11"/>
      <c r="N479" s="11">
        <v>-0.7</v>
      </c>
      <c r="O479" s="11">
        <v>2492000000</v>
      </c>
      <c r="P479" s="12">
        <f t="shared" si="84"/>
        <v>-5.2278134128346435E-2</v>
      </c>
      <c r="Q479" s="12">
        <f t="shared" si="85"/>
        <v>-1.7743798358494229E-2</v>
      </c>
      <c r="R479" s="12" t="str">
        <f t="shared" si="86"/>
        <v/>
      </c>
      <c r="S479" s="12" t="str">
        <f t="shared" si="87"/>
        <v/>
      </c>
      <c r="T479" s="12" t="str">
        <f t="shared" si="88"/>
        <v/>
      </c>
      <c r="U479" s="13">
        <f t="shared" si="89"/>
        <v>8.8487326246933762</v>
      </c>
      <c r="V479" s="13">
        <f t="shared" si="90"/>
        <v>27.045802199561187</v>
      </c>
      <c r="W479" s="12">
        <f t="shared" si="91"/>
        <v>3.5174272532090815E-2</v>
      </c>
      <c r="X479" s="12">
        <f t="shared" si="92"/>
        <v>0</v>
      </c>
      <c r="Y479" s="13">
        <f t="shared" si="93"/>
        <v>-0.6966292134831461</v>
      </c>
      <c r="Z479" s="13">
        <f t="shared" si="94"/>
        <v>-38.459129187897467</v>
      </c>
      <c r="AA479" s="13">
        <f t="shared" si="95"/>
        <v>2480000000</v>
      </c>
    </row>
    <row r="480" spans="1:27" x14ac:dyDescent="0.25">
      <c r="A480" s="10" t="s">
        <v>539</v>
      </c>
      <c r="B480" s="11">
        <v>847000000</v>
      </c>
      <c r="C480" s="11">
        <v>9854000000</v>
      </c>
      <c r="D480" s="11"/>
      <c r="E480" s="11">
        <v>1020000000</v>
      </c>
      <c r="F480" s="11">
        <v>1250000000</v>
      </c>
      <c r="G480" s="11">
        <v>2972000000</v>
      </c>
      <c r="H480" s="11">
        <v>7801000000</v>
      </c>
      <c r="I480" s="11">
        <v>16091000000</v>
      </c>
      <c r="J480" s="11">
        <v>2988000000</v>
      </c>
      <c r="K480" s="11"/>
      <c r="L480" s="11">
        <v>34166310180.419998</v>
      </c>
      <c r="M480" s="11"/>
      <c r="N480" s="11">
        <v>3.33</v>
      </c>
      <c r="O480" s="11">
        <v>254313000</v>
      </c>
      <c r="P480" s="12">
        <f t="shared" si="84"/>
        <v>0.10857582361235739</v>
      </c>
      <c r="Q480" s="12">
        <f t="shared" si="85"/>
        <v>5.263812068858368E-2</v>
      </c>
      <c r="R480" s="12">
        <f t="shared" si="86"/>
        <v>8.5954942155469866E-2</v>
      </c>
      <c r="S480" s="12">
        <f t="shared" si="87"/>
        <v>0.10351126446113254</v>
      </c>
      <c r="T480" s="12">
        <f t="shared" si="88"/>
        <v>0</v>
      </c>
      <c r="U480" s="13">
        <f t="shared" si="89"/>
        <v>2.3904000000000001</v>
      </c>
      <c r="V480" s="13">
        <f t="shared" si="90"/>
        <v>29.723448144335997</v>
      </c>
      <c r="W480" s="12">
        <f t="shared" si="91"/>
        <v>0.27546575215497265</v>
      </c>
      <c r="X480" s="12">
        <f t="shared" si="92"/>
        <v>0</v>
      </c>
      <c r="Y480" s="13">
        <f t="shared" si="93"/>
        <v>3.3305414980752066</v>
      </c>
      <c r="Z480" s="13">
        <f t="shared" si="94"/>
        <v>40.338028548311684</v>
      </c>
      <c r="AA480" s="13">
        <f t="shared" si="95"/>
        <v>254354354.35435435</v>
      </c>
    </row>
    <row r="481" spans="1:27" x14ac:dyDescent="0.25">
      <c r="A481" s="10" t="s">
        <v>540</v>
      </c>
      <c r="B481" s="11">
        <v>6511000000</v>
      </c>
      <c r="C481" s="11">
        <v>11777000000</v>
      </c>
      <c r="D481" s="11">
        <v>5350000000</v>
      </c>
      <c r="E481" s="11">
        <v>3570000000</v>
      </c>
      <c r="F481" s="11"/>
      <c r="G481" s="11">
        <v>2905000000</v>
      </c>
      <c r="H481" s="11">
        <v>7428500000</v>
      </c>
      <c r="I481" s="11">
        <v>15045000000</v>
      </c>
      <c r="J481" s="11">
        <v>1581000000</v>
      </c>
      <c r="K481" s="11"/>
      <c r="L481" s="11">
        <v>199243501617</v>
      </c>
      <c r="M481" s="11"/>
      <c r="N481" s="11">
        <v>17.09</v>
      </c>
      <c r="O481" s="11">
        <v>381000000</v>
      </c>
      <c r="P481" s="12">
        <f t="shared" si="84"/>
        <v>0.87648919701150974</v>
      </c>
      <c r="Q481" s="12">
        <f t="shared" si="85"/>
        <v>0.43276836158192089</v>
      </c>
      <c r="R481" s="12">
        <f t="shared" si="86"/>
        <v>0.55285726415895386</v>
      </c>
      <c r="S481" s="12">
        <f t="shared" si="87"/>
        <v>0.30313322577906088</v>
      </c>
      <c r="T481" s="12">
        <f t="shared" si="88"/>
        <v>0.45427528232996517</v>
      </c>
      <c r="U481" s="13" t="str">
        <f t="shared" si="89"/>
        <v/>
      </c>
      <c r="V481" s="13" t="str">
        <f t="shared" si="90"/>
        <v/>
      </c>
      <c r="W481" s="12">
        <f t="shared" si="91"/>
        <v>0.32243742716021978</v>
      </c>
      <c r="X481" s="12">
        <f t="shared" si="92"/>
        <v>0</v>
      </c>
      <c r="Y481" s="13">
        <f t="shared" si="93"/>
        <v>17.089238845144358</v>
      </c>
      <c r="Z481" s="13">
        <f t="shared" si="94"/>
        <v>30.601059993395793</v>
      </c>
      <c r="AA481" s="13">
        <f t="shared" si="95"/>
        <v>380983031.01228791</v>
      </c>
    </row>
    <row r="482" spans="1:27" x14ac:dyDescent="0.25">
      <c r="A482" s="10" t="s">
        <v>541</v>
      </c>
      <c r="B482" s="11">
        <v>1636100000</v>
      </c>
      <c r="C482" s="11">
        <v>10084800000</v>
      </c>
      <c r="D482" s="11"/>
      <c r="E482" s="11">
        <v>2287400000</v>
      </c>
      <c r="F482" s="11">
        <v>3785800000</v>
      </c>
      <c r="G482" s="11">
        <v>709500000</v>
      </c>
      <c r="H482" s="11"/>
      <c r="I482" s="11">
        <v>51734000000</v>
      </c>
      <c r="J482" s="11">
        <v>20017500000</v>
      </c>
      <c r="K482" s="11"/>
      <c r="L482" s="11">
        <v>37422622946.610001</v>
      </c>
      <c r="M482" s="11">
        <v>1174300000</v>
      </c>
      <c r="N482" s="11">
        <v>4.9800000000000004</v>
      </c>
      <c r="O482" s="11">
        <v>328300000</v>
      </c>
      <c r="P482" s="12" t="str">
        <f t="shared" si="84"/>
        <v/>
      </c>
      <c r="Q482" s="12">
        <f t="shared" si="85"/>
        <v>3.1625236788185719E-2</v>
      </c>
      <c r="R482" s="12">
        <f t="shared" si="86"/>
        <v>0.16223425353006504</v>
      </c>
      <c r="S482" s="12">
        <f t="shared" si="87"/>
        <v>0.22681659527209266</v>
      </c>
      <c r="T482" s="12">
        <f t="shared" si="88"/>
        <v>0</v>
      </c>
      <c r="U482" s="13">
        <f t="shared" si="89"/>
        <v>5.2875217919594277</v>
      </c>
      <c r="V482" s="13">
        <f t="shared" si="90"/>
        <v>15.1725191364071</v>
      </c>
      <c r="W482" s="12">
        <f t="shared" si="91"/>
        <v>3.5443986511802174E-2</v>
      </c>
      <c r="X482" s="12">
        <f t="shared" si="92"/>
        <v>0.71774341421673493</v>
      </c>
      <c r="Y482" s="13">
        <f t="shared" si="93"/>
        <v>4.9835516296070663</v>
      </c>
      <c r="Z482" s="13">
        <f t="shared" si="94"/>
        <v>22.873065794639693</v>
      </c>
      <c r="AA482" s="13">
        <f t="shared" si="95"/>
        <v>328534136.54618472</v>
      </c>
    </row>
    <row r="483" spans="1:27" x14ac:dyDescent="0.25">
      <c r="A483" s="10" t="s">
        <v>542</v>
      </c>
      <c r="B483" s="11">
        <v>1456895000</v>
      </c>
      <c r="C483" s="11">
        <v>11766873000</v>
      </c>
      <c r="D483" s="11"/>
      <c r="E483" s="11"/>
      <c r="F483" s="11"/>
      <c r="G483" s="11"/>
      <c r="H483" s="11">
        <v>38875217000</v>
      </c>
      <c r="I483" s="11">
        <v>67220556000</v>
      </c>
      <c r="J483" s="11">
        <v>17933568000</v>
      </c>
      <c r="K483" s="11"/>
      <c r="L483" s="11">
        <v>163856858687.14999</v>
      </c>
      <c r="M483" s="11">
        <v>1966595000</v>
      </c>
      <c r="N483" s="11">
        <v>2.0099999999999998</v>
      </c>
      <c r="O483" s="11">
        <v>726255000</v>
      </c>
      <c r="P483" s="12">
        <f t="shared" si="84"/>
        <v>3.7476189521977461E-2</v>
      </c>
      <c r="Q483" s="12">
        <f t="shared" si="85"/>
        <v>2.167335539444214E-2</v>
      </c>
      <c r="R483" s="12">
        <f t="shared" si="86"/>
        <v>0.1238132679769723</v>
      </c>
      <c r="S483" s="12">
        <f t="shared" si="87"/>
        <v>0</v>
      </c>
      <c r="T483" s="12">
        <f t="shared" si="88"/>
        <v>0</v>
      </c>
      <c r="U483" s="13" t="str">
        <f t="shared" si="89"/>
        <v/>
      </c>
      <c r="V483" s="13" t="str">
        <f t="shared" si="90"/>
        <v/>
      </c>
      <c r="W483" s="12">
        <f t="shared" si="91"/>
        <v>0</v>
      </c>
      <c r="X483" s="12">
        <f t="shared" si="92"/>
        <v>1.3498536270630348</v>
      </c>
      <c r="Y483" s="13">
        <f t="shared" si="93"/>
        <v>2.0060378241802121</v>
      </c>
      <c r="Z483" s="13">
        <f t="shared" si="94"/>
        <v>112.46991628576527</v>
      </c>
      <c r="AA483" s="13">
        <f t="shared" si="95"/>
        <v>724823383.0845772</v>
      </c>
    </row>
    <row r="484" spans="1:27" x14ac:dyDescent="0.25">
      <c r="A484" s="10" t="s">
        <v>543</v>
      </c>
      <c r="B484" s="11">
        <v>21697000000</v>
      </c>
      <c r="C484" s="11"/>
      <c r="D484" s="11"/>
      <c r="E484" s="11"/>
      <c r="F484" s="11"/>
      <c r="G484" s="11"/>
      <c r="H484" s="11">
        <v>179743000000</v>
      </c>
      <c r="I484" s="11">
        <v>2205752000000</v>
      </c>
      <c r="J484" s="11">
        <v>183941000000</v>
      </c>
      <c r="K484" s="11"/>
      <c r="L484" s="11">
        <v>265961080130.29001</v>
      </c>
      <c r="M484" s="11">
        <v>5503000000</v>
      </c>
      <c r="N484" s="11">
        <v>6.96</v>
      </c>
      <c r="O484" s="11">
        <v>3117700000</v>
      </c>
      <c r="P484" s="12">
        <f t="shared" si="84"/>
        <v>0.12071123771162159</v>
      </c>
      <c r="Q484" s="12">
        <f t="shared" si="85"/>
        <v>9.8365546081336432E-3</v>
      </c>
      <c r="R484" s="12" t="str">
        <f t="shared" si="86"/>
        <v/>
      </c>
      <c r="S484" s="12" t="str">
        <f t="shared" si="87"/>
        <v/>
      </c>
      <c r="T484" s="12" t="str">
        <f t="shared" si="88"/>
        <v/>
      </c>
      <c r="U484" s="13" t="str">
        <f t="shared" si="89"/>
        <v/>
      </c>
      <c r="V484" s="13" t="str">
        <f t="shared" si="90"/>
        <v/>
      </c>
      <c r="W484" s="12">
        <f t="shared" si="91"/>
        <v>0</v>
      </c>
      <c r="X484" s="12">
        <f t="shared" si="92"/>
        <v>0.25362953403696364</v>
      </c>
      <c r="Y484" s="13">
        <f t="shared" si="93"/>
        <v>6.9592969175995121</v>
      </c>
      <c r="Z484" s="13">
        <f t="shared" si="94"/>
        <v>12.257965623371435</v>
      </c>
      <c r="AA484" s="13">
        <f t="shared" si="95"/>
        <v>3117385057.4712644</v>
      </c>
    </row>
    <row r="485" spans="1:27" x14ac:dyDescent="0.25">
      <c r="A485" s="10" t="s">
        <v>544</v>
      </c>
      <c r="B485" s="11">
        <v>2794000000</v>
      </c>
      <c r="C485" s="11">
        <v>25413000000</v>
      </c>
      <c r="D485" s="11"/>
      <c r="E485" s="11">
        <v>4408000000</v>
      </c>
      <c r="F485" s="11">
        <v>7350000000</v>
      </c>
      <c r="G485" s="11">
        <v>3527000000</v>
      </c>
      <c r="H485" s="11">
        <v>9335500000</v>
      </c>
      <c r="I485" s="11">
        <v>45700000000</v>
      </c>
      <c r="J485" s="11"/>
      <c r="K485" s="11"/>
      <c r="L485" s="11">
        <v>93033053730.529999</v>
      </c>
      <c r="M485" s="11">
        <v>1383000000</v>
      </c>
      <c r="N485" s="11">
        <v>6.91</v>
      </c>
      <c r="O485" s="11">
        <v>404400000</v>
      </c>
      <c r="P485" s="12">
        <f t="shared" si="84"/>
        <v>0.29928766536339779</v>
      </c>
      <c r="Q485" s="12">
        <f t="shared" si="85"/>
        <v>6.1137855579868707E-2</v>
      </c>
      <c r="R485" s="12">
        <f t="shared" si="86"/>
        <v>0.10994372958721914</v>
      </c>
      <c r="S485" s="12">
        <f t="shared" si="87"/>
        <v>0.17345453114547674</v>
      </c>
      <c r="T485" s="12">
        <f t="shared" si="88"/>
        <v>0</v>
      </c>
      <c r="U485" s="13">
        <f t="shared" si="89"/>
        <v>0</v>
      </c>
      <c r="V485" s="13">
        <f t="shared" si="90"/>
        <v>12.657558330684354</v>
      </c>
      <c r="W485" s="12">
        <f t="shared" si="91"/>
        <v>0.37780515237534146</v>
      </c>
      <c r="X485" s="12">
        <f t="shared" si="92"/>
        <v>0.49498926270579813</v>
      </c>
      <c r="Y485" s="13">
        <f t="shared" si="93"/>
        <v>6.9090009891196837</v>
      </c>
      <c r="Z485" s="13">
        <f t="shared" si="94"/>
        <v>33.29744228007516</v>
      </c>
      <c r="AA485" s="13">
        <f t="shared" si="95"/>
        <v>404341534.00868309</v>
      </c>
    </row>
    <row r="486" spans="1:27" x14ac:dyDescent="0.25">
      <c r="A486" s="10" t="s">
        <v>545</v>
      </c>
      <c r="B486" s="11">
        <v>2792000000</v>
      </c>
      <c r="C486" s="11">
        <v>11932000000</v>
      </c>
      <c r="D486" s="11"/>
      <c r="E486" s="11">
        <v>4423000000</v>
      </c>
      <c r="F486" s="11">
        <v>6769000000</v>
      </c>
      <c r="G486" s="11">
        <v>828000000</v>
      </c>
      <c r="H486" s="11">
        <v>12739500000</v>
      </c>
      <c r="I486" s="11">
        <v>59569000000</v>
      </c>
      <c r="J486" s="11"/>
      <c r="K486" s="11"/>
      <c r="L486" s="11">
        <v>92275215361.960007</v>
      </c>
      <c r="M486" s="11">
        <v>2474000000</v>
      </c>
      <c r="N486" s="11">
        <v>2.2799999999999998</v>
      </c>
      <c r="O486" s="11">
        <v>1226000000</v>
      </c>
      <c r="P486" s="12">
        <f t="shared" si="84"/>
        <v>0.21916087758546254</v>
      </c>
      <c r="Q486" s="12">
        <f t="shared" si="85"/>
        <v>4.6870016283637461E-2</v>
      </c>
      <c r="R486" s="12">
        <f t="shared" si="86"/>
        <v>0.23399262487428762</v>
      </c>
      <c r="S486" s="12">
        <f t="shared" si="87"/>
        <v>0.37068387529332886</v>
      </c>
      <c r="T486" s="12">
        <f t="shared" si="88"/>
        <v>0</v>
      </c>
      <c r="U486" s="13">
        <f t="shared" si="89"/>
        <v>0</v>
      </c>
      <c r="V486" s="13">
        <f t="shared" si="90"/>
        <v>13.632030634061163</v>
      </c>
      <c r="W486" s="12">
        <f t="shared" si="91"/>
        <v>6.4994701518897913E-2</v>
      </c>
      <c r="X486" s="12">
        <f t="shared" si="92"/>
        <v>0.88610315186246413</v>
      </c>
      <c r="Y486" s="13">
        <f t="shared" si="93"/>
        <v>2.2773246329526917</v>
      </c>
      <c r="Z486" s="13">
        <f t="shared" si="94"/>
        <v>33.049862235659027</v>
      </c>
      <c r="AA486" s="13">
        <f t="shared" si="95"/>
        <v>1224561403.5087721</v>
      </c>
    </row>
    <row r="487" spans="1:27" x14ac:dyDescent="0.25">
      <c r="A487" s="10" t="s">
        <v>546</v>
      </c>
      <c r="B487" s="11">
        <v>22736000000</v>
      </c>
      <c r="C487" s="11">
        <v>725305000000</v>
      </c>
      <c r="D487" s="11"/>
      <c r="E487" s="11">
        <v>30183000000</v>
      </c>
      <c r="F487" s="11"/>
      <c r="G487" s="11">
        <v>12552000000</v>
      </c>
      <c r="H487" s="11">
        <v>89061500000</v>
      </c>
      <c r="I487" s="11">
        <v>289607000000</v>
      </c>
      <c r="J487" s="11">
        <v>38166000000</v>
      </c>
      <c r="K487" s="11"/>
      <c r="L487" s="11">
        <v>892976054696.70996</v>
      </c>
      <c r="M487" s="11">
        <v>7599000000</v>
      </c>
      <c r="N487" s="11">
        <v>2.84</v>
      </c>
      <c r="O487" s="11">
        <v>7999000000</v>
      </c>
      <c r="P487" s="12">
        <f t="shared" si="84"/>
        <v>0.25528426985846858</v>
      </c>
      <c r="Q487" s="12">
        <f t="shared" si="85"/>
        <v>7.8506389693619283E-2</v>
      </c>
      <c r="R487" s="12">
        <f t="shared" si="86"/>
        <v>3.1346812720165998E-2</v>
      </c>
      <c r="S487" s="12">
        <f t="shared" si="87"/>
        <v>4.1614217467134514E-2</v>
      </c>
      <c r="T487" s="12">
        <f t="shared" si="88"/>
        <v>0</v>
      </c>
      <c r="U487" s="13" t="str">
        <f t="shared" si="89"/>
        <v/>
      </c>
      <c r="V487" s="13" t="str">
        <f t="shared" si="90"/>
        <v/>
      </c>
      <c r="W487" s="12">
        <f t="shared" si="91"/>
        <v>9.8657915937985105E-2</v>
      </c>
      <c r="X487" s="12">
        <f t="shared" si="92"/>
        <v>0.33422765657987336</v>
      </c>
      <c r="Y487" s="13">
        <f t="shared" si="93"/>
        <v>2.8423552944118016</v>
      </c>
      <c r="Z487" s="13">
        <f t="shared" si="94"/>
        <v>39.275864474696952</v>
      </c>
      <c r="AA487" s="13">
        <f t="shared" si="95"/>
        <v>8005633802.8169022</v>
      </c>
    </row>
    <row r="488" spans="1:27" x14ac:dyDescent="0.25">
      <c r="A488" s="10" t="s">
        <v>547</v>
      </c>
      <c r="B488" s="11">
        <v>1877048000</v>
      </c>
      <c r="C488" s="11">
        <v>14850791000</v>
      </c>
      <c r="D488" s="11"/>
      <c r="E488" s="11"/>
      <c r="F488" s="11"/>
      <c r="G488" s="11"/>
      <c r="H488" s="11">
        <v>9326794500</v>
      </c>
      <c r="I488" s="11">
        <v>44315553000</v>
      </c>
      <c r="J488" s="11"/>
      <c r="K488" s="11"/>
      <c r="L488" s="11">
        <v>26736914778.630001</v>
      </c>
      <c r="M488" s="11">
        <v>703635000</v>
      </c>
      <c r="N488" s="11">
        <v>4.75</v>
      </c>
      <c r="O488" s="11">
        <v>394779000</v>
      </c>
      <c r="P488" s="12">
        <f t="shared" si="84"/>
        <v>0.20125328160709449</v>
      </c>
      <c r="Q488" s="12">
        <f t="shared" si="85"/>
        <v>4.2356416042015767E-2</v>
      </c>
      <c r="R488" s="12">
        <f t="shared" si="86"/>
        <v>0.12639380622890728</v>
      </c>
      <c r="S488" s="12">
        <f t="shared" si="87"/>
        <v>0</v>
      </c>
      <c r="T488" s="12">
        <f t="shared" si="88"/>
        <v>0</v>
      </c>
      <c r="U488" s="13" t="str">
        <f t="shared" si="89"/>
        <v/>
      </c>
      <c r="V488" s="13" t="str">
        <f t="shared" si="90"/>
        <v/>
      </c>
      <c r="W488" s="12">
        <f t="shared" si="91"/>
        <v>0</v>
      </c>
      <c r="X488" s="12">
        <f t="shared" si="92"/>
        <v>0.37486255013190928</v>
      </c>
      <c r="Y488" s="13">
        <f t="shared" si="93"/>
        <v>4.7546804667928129</v>
      </c>
      <c r="Z488" s="13">
        <f t="shared" si="94"/>
        <v>14.244129494093919</v>
      </c>
      <c r="AA488" s="13">
        <f t="shared" si="95"/>
        <v>395168000</v>
      </c>
    </row>
    <row r="489" spans="1:27" x14ac:dyDescent="0.25">
      <c r="A489" s="10" t="s">
        <v>548</v>
      </c>
      <c r="B489" s="11">
        <v>1088536000</v>
      </c>
      <c r="C489" s="11">
        <v>7882159000</v>
      </c>
      <c r="D489" s="11">
        <v>3630668000</v>
      </c>
      <c r="E489" s="11">
        <v>1416697000</v>
      </c>
      <c r="F489" s="11">
        <v>1647858000</v>
      </c>
      <c r="G489" s="11">
        <v>1093390000</v>
      </c>
      <c r="H489" s="11">
        <v>2015540000</v>
      </c>
      <c r="I489" s="11">
        <v>5059548000</v>
      </c>
      <c r="J489" s="11">
        <v>0</v>
      </c>
      <c r="K489" s="11"/>
      <c r="L489" s="11">
        <v>25877173202.540001</v>
      </c>
      <c r="M489" s="11">
        <v>327397000</v>
      </c>
      <c r="N489" s="11">
        <v>9.08</v>
      </c>
      <c r="O489" s="11">
        <v>119894000</v>
      </c>
      <c r="P489" s="12">
        <f t="shared" si="84"/>
        <v>0.54007164333131563</v>
      </c>
      <c r="Q489" s="12">
        <f t="shared" si="85"/>
        <v>0.21514491017774709</v>
      </c>
      <c r="R489" s="12">
        <f t="shared" si="86"/>
        <v>0.13810124865534937</v>
      </c>
      <c r="S489" s="12">
        <f t="shared" si="87"/>
        <v>0.1797346386948043</v>
      </c>
      <c r="T489" s="12">
        <f t="shared" si="88"/>
        <v>0.46061846760513203</v>
      </c>
      <c r="U489" s="13">
        <f t="shared" si="89"/>
        <v>0</v>
      </c>
      <c r="V489" s="13">
        <f t="shared" si="90"/>
        <v>15.703521300099888</v>
      </c>
      <c r="W489" s="12">
        <f t="shared" si="91"/>
        <v>0.54247993093662239</v>
      </c>
      <c r="X489" s="12">
        <f t="shared" si="92"/>
        <v>0.30076818773104425</v>
      </c>
      <c r="Y489" s="13">
        <f t="shared" si="93"/>
        <v>9.0791532520393012</v>
      </c>
      <c r="Z489" s="13">
        <f t="shared" si="94"/>
        <v>23.772455116358117</v>
      </c>
      <c r="AA489" s="13">
        <f t="shared" si="95"/>
        <v>119882819.38325991</v>
      </c>
    </row>
    <row r="490" spans="1:27" x14ac:dyDescent="0.25">
      <c r="A490" s="10" t="s">
        <v>549</v>
      </c>
      <c r="B490" s="11">
        <v>542700000</v>
      </c>
      <c r="C490" s="11">
        <v>2883500000</v>
      </c>
      <c r="D490" s="11">
        <v>1168500000</v>
      </c>
      <c r="E490" s="11">
        <v>655000000</v>
      </c>
      <c r="F490" s="11">
        <v>831600000</v>
      </c>
      <c r="G490" s="11">
        <v>458000000</v>
      </c>
      <c r="H490" s="11">
        <v>2836750000</v>
      </c>
      <c r="I490" s="11">
        <v>4109800000</v>
      </c>
      <c r="J490" s="11">
        <v>202800000</v>
      </c>
      <c r="K490" s="11"/>
      <c r="L490" s="11">
        <v>25267819086.419998</v>
      </c>
      <c r="M490" s="11">
        <v>61800000</v>
      </c>
      <c r="N490" s="11">
        <v>7.5</v>
      </c>
      <c r="O490" s="11">
        <v>72400000</v>
      </c>
      <c r="P490" s="12">
        <f t="shared" si="84"/>
        <v>0.19131047854058342</v>
      </c>
      <c r="Q490" s="12">
        <f t="shared" si="85"/>
        <v>0.13205022142196701</v>
      </c>
      <c r="R490" s="12">
        <f t="shared" si="86"/>
        <v>0.18820877405930292</v>
      </c>
      <c r="S490" s="12">
        <f t="shared" si="87"/>
        <v>0.22715449973989943</v>
      </c>
      <c r="T490" s="12">
        <f t="shared" si="88"/>
        <v>0.40523669152072134</v>
      </c>
      <c r="U490" s="13">
        <f t="shared" si="89"/>
        <v>0.24386724386724387</v>
      </c>
      <c r="V490" s="13">
        <f t="shared" si="90"/>
        <v>30.628450079870127</v>
      </c>
      <c r="W490" s="12">
        <f t="shared" si="91"/>
        <v>0.1506801993716175</v>
      </c>
      <c r="X490" s="12">
        <f t="shared" si="92"/>
        <v>0.11387506909894969</v>
      </c>
      <c r="Y490" s="13">
        <f t="shared" si="93"/>
        <v>7.4958563535911606</v>
      </c>
      <c r="Z490" s="13">
        <f t="shared" si="94"/>
        <v>46.559460266113874</v>
      </c>
      <c r="AA490" s="13">
        <f t="shared" si="95"/>
        <v>72360000</v>
      </c>
    </row>
    <row r="491" spans="1:27" x14ac:dyDescent="0.25">
      <c r="A491" s="10" t="s">
        <v>550</v>
      </c>
      <c r="B491" s="11">
        <v>1667000000</v>
      </c>
      <c r="C491" s="11">
        <v>9897000000</v>
      </c>
      <c r="D491" s="11"/>
      <c r="E491" s="11">
        <v>2250000000</v>
      </c>
      <c r="F491" s="11">
        <v>2478000000</v>
      </c>
      <c r="G491" s="11">
        <v>1567000000</v>
      </c>
      <c r="H491" s="11">
        <v>8055000000</v>
      </c>
      <c r="I491" s="11">
        <v>29637000000</v>
      </c>
      <c r="J491" s="11">
        <v>9685000000</v>
      </c>
      <c r="K491" s="11"/>
      <c r="L491" s="11">
        <v>27307743762.049999</v>
      </c>
      <c r="M491" s="11">
        <v>358000000</v>
      </c>
      <c r="N491" s="11">
        <v>17.36</v>
      </c>
      <c r="O491" s="11">
        <v>96000000</v>
      </c>
      <c r="P491" s="12">
        <f t="shared" si="84"/>
        <v>0.2069522036002483</v>
      </c>
      <c r="Q491" s="12">
        <f t="shared" si="85"/>
        <v>5.6247258494449504E-2</v>
      </c>
      <c r="R491" s="12">
        <f t="shared" si="86"/>
        <v>0.16843487925634029</v>
      </c>
      <c r="S491" s="12">
        <f t="shared" si="87"/>
        <v>0.22734161867232494</v>
      </c>
      <c r="T491" s="12">
        <f t="shared" si="88"/>
        <v>0</v>
      </c>
      <c r="U491" s="13">
        <f t="shared" si="89"/>
        <v>3.9083938660209845</v>
      </c>
      <c r="V491" s="13">
        <f t="shared" si="90"/>
        <v>14.928468023426152</v>
      </c>
      <c r="W491" s="12">
        <f t="shared" si="91"/>
        <v>8.83314543404735E-2</v>
      </c>
      <c r="X491" s="12">
        <f t="shared" si="92"/>
        <v>0.21475704859028194</v>
      </c>
      <c r="Y491" s="13">
        <f t="shared" si="93"/>
        <v>17.364583333333332</v>
      </c>
      <c r="Z491" s="13">
        <f t="shared" si="94"/>
        <v>16.381369983233352</v>
      </c>
      <c r="AA491" s="13">
        <f t="shared" si="95"/>
        <v>96025345.622119814</v>
      </c>
    </row>
    <row r="492" spans="1:27" x14ac:dyDescent="0.25">
      <c r="A492" s="10" t="s">
        <v>551</v>
      </c>
      <c r="B492" s="11">
        <v>397000000</v>
      </c>
      <c r="C492" s="11">
        <v>6869000000</v>
      </c>
      <c r="D492" s="11">
        <v>1008000000</v>
      </c>
      <c r="E492" s="11">
        <v>799000000</v>
      </c>
      <c r="F492" s="11">
        <v>1307000000</v>
      </c>
      <c r="G492" s="11"/>
      <c r="H492" s="11">
        <v>9542000000</v>
      </c>
      <c r="I492" s="11">
        <v>16401000000</v>
      </c>
      <c r="J492" s="11">
        <v>5572000000</v>
      </c>
      <c r="K492" s="11"/>
      <c r="L492" s="11">
        <v>16223458702.5</v>
      </c>
      <c r="M492" s="11">
        <v>605000000</v>
      </c>
      <c r="N492" s="11">
        <v>0.55000000000000004</v>
      </c>
      <c r="O492" s="11">
        <v>721671000</v>
      </c>
      <c r="P492" s="12">
        <f t="shared" si="84"/>
        <v>4.1605533431146507E-2</v>
      </c>
      <c r="Q492" s="12">
        <f t="shared" si="85"/>
        <v>2.4205841107249559E-2</v>
      </c>
      <c r="R492" s="12">
        <f t="shared" si="86"/>
        <v>5.7795894598922697E-2</v>
      </c>
      <c r="S492" s="12">
        <f t="shared" si="87"/>
        <v>0.11631969719027514</v>
      </c>
      <c r="T492" s="12">
        <f t="shared" si="88"/>
        <v>0.14674625127383897</v>
      </c>
      <c r="U492" s="13">
        <f t="shared" si="89"/>
        <v>4.2631981637337413</v>
      </c>
      <c r="V492" s="13">
        <f t="shared" si="90"/>
        <v>16.675943919280797</v>
      </c>
      <c r="W492" s="12">
        <f t="shared" si="91"/>
        <v>0</v>
      </c>
      <c r="X492" s="12">
        <f t="shared" si="92"/>
        <v>1.5239294710327456</v>
      </c>
      <c r="Y492" s="13">
        <f t="shared" si="93"/>
        <v>0.55011217022715342</v>
      </c>
      <c r="Z492" s="13">
        <f t="shared" si="94"/>
        <v>40.865135270780854</v>
      </c>
      <c r="AA492" s="13">
        <f t="shared" si="95"/>
        <v>721818181.81818175</v>
      </c>
    </row>
    <row r="493" spans="1:27" x14ac:dyDescent="0.25">
      <c r="A493" s="10" t="s">
        <v>552</v>
      </c>
      <c r="B493" s="11">
        <v>375041000</v>
      </c>
      <c r="C493" s="11"/>
      <c r="D493" s="11"/>
      <c r="E493" s="11"/>
      <c r="F493" s="11">
        <v>1758138000</v>
      </c>
      <c r="G493" s="11">
        <v>692768000</v>
      </c>
      <c r="H493" s="11">
        <v>-286250000</v>
      </c>
      <c r="I493" s="11">
        <v>12905298000</v>
      </c>
      <c r="J493" s="11">
        <v>10524505000</v>
      </c>
      <c r="K493" s="11"/>
      <c r="L493" s="11">
        <v>10257242617.110001</v>
      </c>
      <c r="M493" s="11">
        <v>174748000</v>
      </c>
      <c r="N493" s="11">
        <v>3.61</v>
      </c>
      <c r="O493" s="11">
        <v>103800000</v>
      </c>
      <c r="P493" s="12">
        <f t="shared" si="84"/>
        <v>-1.3101868995633188</v>
      </c>
      <c r="Q493" s="12">
        <f t="shared" si="85"/>
        <v>2.9061010447027261E-2</v>
      </c>
      <c r="R493" s="12" t="str">
        <f t="shared" si="86"/>
        <v/>
      </c>
      <c r="S493" s="12" t="str">
        <f t="shared" si="87"/>
        <v/>
      </c>
      <c r="T493" s="12" t="str">
        <f t="shared" si="88"/>
        <v/>
      </c>
      <c r="U493" s="13">
        <f t="shared" si="89"/>
        <v>5.986165477340232</v>
      </c>
      <c r="V493" s="13">
        <f t="shared" si="90"/>
        <v>11.820316503658985</v>
      </c>
      <c r="W493" s="12">
        <f t="shared" si="91"/>
        <v>6.766465574455803E-2</v>
      </c>
      <c r="X493" s="12">
        <f t="shared" si="92"/>
        <v>0.4659437234862322</v>
      </c>
      <c r="Y493" s="13">
        <f t="shared" si="93"/>
        <v>3.6131117533718689</v>
      </c>
      <c r="Z493" s="13">
        <f t="shared" si="94"/>
        <v>27.349656749822021</v>
      </c>
      <c r="AA493" s="13">
        <f t="shared" si="95"/>
        <v>103889473.68421052</v>
      </c>
    </row>
    <row r="494" spans="1:27" x14ac:dyDescent="0.25">
      <c r="A494" s="10" t="s">
        <v>553</v>
      </c>
      <c r="B494" s="11">
        <v>2091000000</v>
      </c>
      <c r="C494" s="11"/>
      <c r="D494" s="11"/>
      <c r="E494" s="11"/>
      <c r="F494" s="11"/>
      <c r="G494" s="11">
        <v>-7190000000</v>
      </c>
      <c r="H494" s="11">
        <v>21805000000</v>
      </c>
      <c r="I494" s="11">
        <v>84828000000</v>
      </c>
      <c r="J494" s="11">
        <v>35553000000</v>
      </c>
      <c r="K494" s="11"/>
      <c r="L494" s="11">
        <v>49329778535.57</v>
      </c>
      <c r="M494" s="11">
        <v>1323000000</v>
      </c>
      <c r="N494" s="11">
        <v>3.34</v>
      </c>
      <c r="O494" s="11">
        <v>626000000</v>
      </c>
      <c r="P494" s="12">
        <f t="shared" si="84"/>
        <v>9.5895436826415964E-2</v>
      </c>
      <c r="Q494" s="12">
        <f t="shared" si="85"/>
        <v>2.4649879756684114E-2</v>
      </c>
      <c r="R494" s="12" t="str">
        <f t="shared" si="86"/>
        <v/>
      </c>
      <c r="S494" s="12" t="str">
        <f t="shared" si="87"/>
        <v/>
      </c>
      <c r="T494" s="12" t="str">
        <f t="shared" si="88"/>
        <v/>
      </c>
      <c r="U494" s="13" t="str">
        <f t="shared" si="89"/>
        <v/>
      </c>
      <c r="V494" s="13" t="str">
        <f t="shared" si="90"/>
        <v/>
      </c>
      <c r="W494" s="12">
        <f t="shared" si="91"/>
        <v>-0.1253530457826284</v>
      </c>
      <c r="X494" s="12">
        <f t="shared" si="92"/>
        <v>0.63271162123385938</v>
      </c>
      <c r="Y494" s="13">
        <f t="shared" si="93"/>
        <v>3.340255591054313</v>
      </c>
      <c r="Z494" s="13">
        <f t="shared" si="94"/>
        <v>23.591477061487325</v>
      </c>
      <c r="AA494" s="13">
        <f t="shared" si="95"/>
        <v>626047904.19161677</v>
      </c>
    </row>
    <row r="495" spans="1:27" x14ac:dyDescent="0.25">
      <c r="A495" s="10" t="s">
        <v>554</v>
      </c>
      <c r="B495" s="11">
        <v>25314000000</v>
      </c>
      <c r="C495" s="11">
        <v>334246000000</v>
      </c>
      <c r="D495" s="11"/>
      <c r="E495" s="11"/>
      <c r="F495" s="11"/>
      <c r="G495" s="11">
        <v>18792000000</v>
      </c>
      <c r="H495" s="11">
        <v>258550500000</v>
      </c>
      <c r="I495" s="11">
        <v>464410000000</v>
      </c>
      <c r="J495" s="11"/>
      <c r="K495" s="11"/>
      <c r="L495" s="11">
        <v>569764464717.14001</v>
      </c>
      <c r="M495" s="11">
        <v>17230000000</v>
      </c>
      <c r="N495" s="11"/>
      <c r="O495" s="11"/>
      <c r="P495" s="12">
        <f t="shared" si="84"/>
        <v>9.7907372060777292E-2</v>
      </c>
      <c r="Q495" s="12">
        <f t="shared" si="85"/>
        <v>5.4507870200900067E-2</v>
      </c>
      <c r="R495" s="12">
        <f t="shared" si="86"/>
        <v>7.5734638559623757E-2</v>
      </c>
      <c r="S495" s="12">
        <f t="shared" si="87"/>
        <v>0</v>
      </c>
      <c r="T495" s="12">
        <f t="shared" si="88"/>
        <v>0</v>
      </c>
      <c r="U495" s="13" t="str">
        <f t="shared" si="89"/>
        <v/>
      </c>
      <c r="V495" s="13" t="str">
        <f t="shared" si="90"/>
        <v/>
      </c>
      <c r="W495" s="12">
        <f t="shared" si="91"/>
        <v>7.2682125928977118E-2</v>
      </c>
      <c r="X495" s="12">
        <f t="shared" si="92"/>
        <v>0.68065102314924553</v>
      </c>
      <c r="Y495" s="13" t="str">
        <f t="shared" si="93"/>
        <v/>
      </c>
      <c r="Z495" s="13">
        <f t="shared" si="94"/>
        <v>22.507879620650233</v>
      </c>
      <c r="AA495" s="13" t="str">
        <f t="shared" si="95"/>
        <v/>
      </c>
    </row>
    <row r="496" spans="1:27" x14ac:dyDescent="0.25">
      <c r="A496" s="10" t="s">
        <v>555</v>
      </c>
      <c r="B496" s="11">
        <v>981000000</v>
      </c>
      <c r="C496" s="11">
        <v>9091000000</v>
      </c>
      <c r="D496" s="11">
        <v>3510000000</v>
      </c>
      <c r="E496" s="11">
        <v>1236000000</v>
      </c>
      <c r="F496" s="11">
        <v>1811000000</v>
      </c>
      <c r="G496" s="11">
        <v>966000000</v>
      </c>
      <c r="H496" s="11">
        <v>10894000000</v>
      </c>
      <c r="I496" s="11">
        <v>16954000000</v>
      </c>
      <c r="J496" s="11">
        <v>1950000000</v>
      </c>
      <c r="K496" s="11"/>
      <c r="L496" s="11">
        <v>28259379237.689999</v>
      </c>
      <c r="M496" s="11">
        <v>399000000</v>
      </c>
      <c r="N496" s="11">
        <v>4.03</v>
      </c>
      <c r="O496" s="11">
        <v>243360000</v>
      </c>
      <c r="P496" s="12">
        <f t="shared" si="84"/>
        <v>9.0049568569854965E-2</v>
      </c>
      <c r="Q496" s="12">
        <f t="shared" si="85"/>
        <v>5.786245133891707E-2</v>
      </c>
      <c r="R496" s="12">
        <f t="shared" si="86"/>
        <v>0.10790892091079089</v>
      </c>
      <c r="S496" s="12">
        <f t="shared" si="87"/>
        <v>0.13595864041359587</v>
      </c>
      <c r="T496" s="12">
        <f t="shared" si="88"/>
        <v>0.38609613903860962</v>
      </c>
      <c r="U496" s="13">
        <f t="shared" si="89"/>
        <v>1.0767531750414137</v>
      </c>
      <c r="V496" s="13">
        <f t="shared" si="90"/>
        <v>16.681048723186084</v>
      </c>
      <c r="W496" s="12">
        <f t="shared" si="91"/>
        <v>7.5210214886328244E-2</v>
      </c>
      <c r="X496" s="12">
        <f t="shared" si="92"/>
        <v>0.40672782874617736</v>
      </c>
      <c r="Y496" s="13">
        <f t="shared" si="93"/>
        <v>4.0310650887573969</v>
      </c>
      <c r="Z496" s="13">
        <f t="shared" si="94"/>
        <v>28.806706664311925</v>
      </c>
      <c r="AA496" s="13">
        <f t="shared" si="95"/>
        <v>243424317.61786598</v>
      </c>
    </row>
    <row r="497" spans="1:27" x14ac:dyDescent="0.25">
      <c r="A497" s="10" t="s">
        <v>556</v>
      </c>
      <c r="B497" s="11">
        <v>807083000</v>
      </c>
      <c r="C497" s="11">
        <v>24478734000</v>
      </c>
      <c r="D497" s="11">
        <v>10979565000</v>
      </c>
      <c r="E497" s="11">
        <v>1207114000</v>
      </c>
      <c r="F497" s="11">
        <v>1583672000</v>
      </c>
      <c r="G497" s="11">
        <v>3258243000</v>
      </c>
      <c r="H497" s="11">
        <v>21592266000</v>
      </c>
      <c r="I497" s="11">
        <v>39986081000</v>
      </c>
      <c r="J497" s="11">
        <v>7292520000</v>
      </c>
      <c r="K497" s="11"/>
      <c r="L497" s="11">
        <v>46078911930.190002</v>
      </c>
      <c r="M497" s="11"/>
      <c r="N497" s="11">
        <v>1.35</v>
      </c>
      <c r="O497" s="11">
        <v>597586000</v>
      </c>
      <c r="P497" s="12">
        <f t="shared" si="84"/>
        <v>3.7378337225004547E-2</v>
      </c>
      <c r="Q497" s="12">
        <f t="shared" si="85"/>
        <v>2.0184098561697006E-2</v>
      </c>
      <c r="R497" s="12">
        <f t="shared" si="86"/>
        <v>3.297078190399879E-2</v>
      </c>
      <c r="S497" s="12">
        <f t="shared" si="87"/>
        <v>4.9312762661663796E-2</v>
      </c>
      <c r="T497" s="12">
        <f t="shared" si="88"/>
        <v>0.44853483844385089</v>
      </c>
      <c r="U497" s="13">
        <f t="shared" si="89"/>
        <v>4.6048171591087046</v>
      </c>
      <c r="V497" s="13">
        <f t="shared" si="90"/>
        <v>33.701064317731202</v>
      </c>
      <c r="W497" s="12">
        <f t="shared" si="91"/>
        <v>0.11280135501090435</v>
      </c>
      <c r="X497" s="12">
        <f t="shared" si="92"/>
        <v>0</v>
      </c>
      <c r="Y497" s="13">
        <f t="shared" si="93"/>
        <v>1.3505721352240514</v>
      </c>
      <c r="Z497" s="13">
        <f t="shared" si="94"/>
        <v>57.093151423323256</v>
      </c>
      <c r="AA497" s="13">
        <f t="shared" si="95"/>
        <v>597839259.25925922</v>
      </c>
    </row>
    <row r="498" spans="1:27" x14ac:dyDescent="0.25">
      <c r="A498" s="10" t="s">
        <v>557</v>
      </c>
      <c r="B498" s="11">
        <v>1738000000</v>
      </c>
      <c r="C498" s="11">
        <v>8486000000</v>
      </c>
      <c r="D498" s="11"/>
      <c r="E498" s="11">
        <v>2670000000</v>
      </c>
      <c r="F498" s="11">
        <v>2891000000</v>
      </c>
      <c r="G498" s="11">
        <v>1647000000</v>
      </c>
      <c r="H498" s="11">
        <v>-7543500000</v>
      </c>
      <c r="I498" s="11">
        <v>8211000000</v>
      </c>
      <c r="J498" s="11"/>
      <c r="K498" s="11"/>
      <c r="L498" s="11">
        <v>44758126824.550003</v>
      </c>
      <c r="M498" s="11">
        <v>798000000</v>
      </c>
      <c r="N498" s="11">
        <v>6.23</v>
      </c>
      <c r="O498" s="11">
        <v>279000000</v>
      </c>
      <c r="P498" s="12">
        <f t="shared" si="84"/>
        <v>-0.23039703055610791</v>
      </c>
      <c r="Q498" s="12">
        <f t="shared" si="85"/>
        <v>0.21166727560589454</v>
      </c>
      <c r="R498" s="12">
        <f t="shared" si="86"/>
        <v>0.20480791892528871</v>
      </c>
      <c r="S498" s="12">
        <f t="shared" si="87"/>
        <v>0.31463587084609945</v>
      </c>
      <c r="T498" s="12">
        <f t="shared" si="88"/>
        <v>0</v>
      </c>
      <c r="U498" s="13">
        <f t="shared" si="89"/>
        <v>0</v>
      </c>
      <c r="V498" s="13">
        <f t="shared" si="90"/>
        <v>15.481884062452441</v>
      </c>
      <c r="W498" s="12">
        <f t="shared" si="91"/>
        <v>-0.21833366474448201</v>
      </c>
      <c r="X498" s="12">
        <f t="shared" si="92"/>
        <v>0.45914844649021863</v>
      </c>
      <c r="Y498" s="13">
        <f t="shared" si="93"/>
        <v>6.2293906810035846</v>
      </c>
      <c r="Z498" s="13">
        <f t="shared" si="94"/>
        <v>25.752662154516688</v>
      </c>
      <c r="AA498" s="13">
        <f t="shared" si="95"/>
        <v>278972712.68057781</v>
      </c>
    </row>
    <row r="499" spans="1:27" x14ac:dyDescent="0.25">
      <c r="A499" s="10" t="s">
        <v>558</v>
      </c>
      <c r="B499" s="11">
        <v>761200000</v>
      </c>
      <c r="C499" s="11">
        <v>8409100000</v>
      </c>
      <c r="D499" s="11"/>
      <c r="E499" s="11">
        <v>1179000000</v>
      </c>
      <c r="F499" s="11">
        <v>2288400000</v>
      </c>
      <c r="G499" s="11">
        <v>1457500000</v>
      </c>
      <c r="H499" s="11">
        <v>12534200000</v>
      </c>
      <c r="I499" s="11">
        <v>22721600000</v>
      </c>
      <c r="J499" s="11">
        <v>1000000000</v>
      </c>
      <c r="K499" s="11"/>
      <c r="L499" s="11">
        <v>17262657918.299999</v>
      </c>
      <c r="M499" s="11">
        <v>189400000</v>
      </c>
      <c r="N499" s="11">
        <v>3.89</v>
      </c>
      <c r="O499" s="11">
        <v>195800000</v>
      </c>
      <c r="P499" s="12">
        <f t="shared" si="84"/>
        <v>6.0729843149143939E-2</v>
      </c>
      <c r="Q499" s="12">
        <f t="shared" si="85"/>
        <v>3.3501161890007743E-2</v>
      </c>
      <c r="R499" s="12">
        <f t="shared" si="86"/>
        <v>9.0520983220558682E-2</v>
      </c>
      <c r="S499" s="12">
        <f t="shared" si="87"/>
        <v>0.14020525383215801</v>
      </c>
      <c r="T499" s="12">
        <f t="shared" si="88"/>
        <v>0</v>
      </c>
      <c r="U499" s="13">
        <f t="shared" si="89"/>
        <v>0.43698654081454291</v>
      </c>
      <c r="V499" s="13">
        <f t="shared" si="90"/>
        <v>7.9805357097972376</v>
      </c>
      <c r="W499" s="12">
        <f t="shared" si="91"/>
        <v>0.10769014792156167</v>
      </c>
      <c r="X499" s="12">
        <f t="shared" si="92"/>
        <v>0.2488176563321072</v>
      </c>
      <c r="Y499" s="13">
        <f t="shared" si="93"/>
        <v>3.8876404494382024</v>
      </c>
      <c r="Z499" s="13">
        <f t="shared" si="94"/>
        <v>22.678215867446138</v>
      </c>
      <c r="AA499" s="13">
        <f t="shared" si="95"/>
        <v>195681233.93316194</v>
      </c>
    </row>
    <row r="500" spans="1:27" x14ac:dyDescent="0.25">
      <c r="A500" s="10" t="s">
        <v>559</v>
      </c>
      <c r="B500" s="11">
        <v>418000000</v>
      </c>
      <c r="C500" s="11">
        <v>5583000000</v>
      </c>
      <c r="D500" s="11">
        <v>2690000000</v>
      </c>
      <c r="E500" s="11">
        <v>720000000</v>
      </c>
      <c r="F500" s="11">
        <v>920000000</v>
      </c>
      <c r="G500" s="11">
        <v>836000000</v>
      </c>
      <c r="H500" s="11">
        <v>3548000000</v>
      </c>
      <c r="I500" s="11">
        <v>8332000000</v>
      </c>
      <c r="J500" s="11">
        <v>2660000000</v>
      </c>
      <c r="K500" s="11"/>
      <c r="L500" s="11">
        <v>12987244038.07</v>
      </c>
      <c r="M500" s="11"/>
      <c r="N500" s="11">
        <v>8.4600000000000009</v>
      </c>
      <c r="O500" s="11">
        <v>49428337</v>
      </c>
      <c r="P500" s="12">
        <f t="shared" si="84"/>
        <v>0.11781285231116122</v>
      </c>
      <c r="Q500" s="12">
        <f t="shared" si="85"/>
        <v>5.0168026884301491E-2</v>
      </c>
      <c r="R500" s="12">
        <f t="shared" si="86"/>
        <v>7.487014150098513E-2</v>
      </c>
      <c r="S500" s="12">
        <f t="shared" si="87"/>
        <v>0.12896292315959162</v>
      </c>
      <c r="T500" s="12">
        <f t="shared" si="88"/>
        <v>0.48181981013791869</v>
      </c>
      <c r="U500" s="13">
        <f t="shared" si="89"/>
        <v>2.8913043478260869</v>
      </c>
      <c r="V500" s="13">
        <f t="shared" si="90"/>
        <v>17.007873954423914</v>
      </c>
      <c r="W500" s="12">
        <f t="shared" si="91"/>
        <v>0.13466494845360824</v>
      </c>
      <c r="X500" s="12">
        <f t="shared" si="92"/>
        <v>0</v>
      </c>
      <c r="Y500" s="13">
        <f t="shared" si="93"/>
        <v>8.4566875070063556</v>
      </c>
      <c r="Z500" s="13">
        <f t="shared" si="94"/>
        <v>31.069961813564593</v>
      </c>
      <c r="AA500" s="13">
        <f t="shared" si="95"/>
        <v>49408983.451536641</v>
      </c>
    </row>
    <row r="501" spans="1:27" x14ac:dyDescent="0.25">
      <c r="A501" s="10" t="s">
        <v>560</v>
      </c>
      <c r="B501" s="11">
        <v>2643000000</v>
      </c>
      <c r="C501" s="11">
        <v>9509000000</v>
      </c>
      <c r="D501" s="11"/>
      <c r="E501" s="11"/>
      <c r="F501" s="11"/>
      <c r="G501" s="11">
        <v>2136000000</v>
      </c>
      <c r="H501" s="11">
        <v>3944000000</v>
      </c>
      <c r="I501" s="11">
        <v>15154000000</v>
      </c>
      <c r="J501" s="11">
        <v>9045000000</v>
      </c>
      <c r="K501" s="11"/>
      <c r="L501" s="11">
        <v>31475647867.07</v>
      </c>
      <c r="M501" s="11"/>
      <c r="N501" s="11">
        <v>6.26</v>
      </c>
      <c r="O501" s="11">
        <v>422400000</v>
      </c>
      <c r="P501" s="12">
        <f t="shared" si="84"/>
        <v>0.67013184584178498</v>
      </c>
      <c r="Q501" s="12">
        <f t="shared" si="85"/>
        <v>0.17440939685891513</v>
      </c>
      <c r="R501" s="12">
        <f t="shared" si="86"/>
        <v>0.27794720790829741</v>
      </c>
      <c r="S501" s="12">
        <f t="shared" si="87"/>
        <v>0</v>
      </c>
      <c r="T501" s="12">
        <f t="shared" si="88"/>
        <v>0</v>
      </c>
      <c r="U501" s="13" t="str">
        <f t="shared" si="89"/>
        <v/>
      </c>
      <c r="V501" s="13" t="str">
        <f t="shared" si="90"/>
        <v/>
      </c>
      <c r="W501" s="12">
        <f t="shared" si="91"/>
        <v>0.16444683963353607</v>
      </c>
      <c r="X501" s="12">
        <f t="shared" si="92"/>
        <v>0</v>
      </c>
      <c r="Y501" s="13">
        <f t="shared" si="93"/>
        <v>6.2571022727272725</v>
      </c>
      <c r="Z501" s="13">
        <f t="shared" si="94"/>
        <v>11.909060865331064</v>
      </c>
      <c r="AA501" s="13">
        <f t="shared" si="95"/>
        <v>422204472.84345049</v>
      </c>
    </row>
    <row r="502" spans="1:27" x14ac:dyDescent="0.25">
      <c r="P502" s="17">
        <f>+COUNT(P3:P501)/499</f>
        <v>0.95791583166332661</v>
      </c>
      <c r="Q502" s="17">
        <f t="shared" ref="Q502:AA502" si="96">+COUNT(Q3:Q501)/499</f>
        <v>1</v>
      </c>
      <c r="R502" s="17">
        <f t="shared" si="96"/>
        <v>0.9118236472945892</v>
      </c>
      <c r="S502" s="17">
        <f t="shared" si="96"/>
        <v>0.9118236472945892</v>
      </c>
      <c r="T502" s="17">
        <f t="shared" si="96"/>
        <v>0.9118236472945892</v>
      </c>
      <c r="U502" s="17">
        <f t="shared" si="96"/>
        <v>0.75951903807615229</v>
      </c>
      <c r="V502" s="17">
        <f t="shared" si="96"/>
        <v>0.75951903807615229</v>
      </c>
      <c r="W502" s="17">
        <f t="shared" si="96"/>
        <v>0.9939879759519038</v>
      </c>
      <c r="X502" s="17">
        <f t="shared" si="96"/>
        <v>0.9819639278557114</v>
      </c>
      <c r="Y502" s="17">
        <f t="shared" si="96"/>
        <v>0.96392785571142281</v>
      </c>
      <c r="Z502" s="17">
        <f t="shared" si="96"/>
        <v>0.9819639278557114</v>
      </c>
      <c r="AA502" s="17">
        <f t="shared" si="96"/>
        <v>0.96392785571142281</v>
      </c>
    </row>
  </sheetData>
  <mergeCells count="2">
    <mergeCell ref="P1:AA1"/>
    <mergeCell ref="B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59"/>
  <sheetViews>
    <sheetView workbookViewId="0">
      <pane xSplit="1" ySplit="2" topLeftCell="B36" activePane="bottomRight" state="frozen"/>
      <selection pane="topRight"/>
      <selection pane="bottomLeft"/>
      <selection pane="bottomRight" activeCell="E6" sqref="E6"/>
    </sheetView>
  </sheetViews>
  <sheetFormatPr defaultRowHeight="15" x14ac:dyDescent="0.25"/>
  <cols>
    <col min="1" max="1" width="10" customWidth="1"/>
    <col min="2" max="6" width="15" customWidth="1"/>
    <col min="7" max="7" width="16.42578125" customWidth="1"/>
    <col min="8" max="15" width="15" customWidth="1"/>
    <col min="16" max="26" width="12" customWidth="1"/>
    <col min="27" max="27" width="13.5703125" bestFit="1" customWidth="1"/>
  </cols>
  <sheetData>
    <row r="1" spans="1:27" x14ac:dyDescent="0.25">
      <c r="B1" s="16" t="s">
        <v>45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4" t="s">
        <v>46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7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32</v>
      </c>
      <c r="O2" s="8" t="s">
        <v>38</v>
      </c>
      <c r="P2" s="9" t="s">
        <v>5</v>
      </c>
      <c r="Q2" s="9" t="s">
        <v>8</v>
      </c>
      <c r="R2" s="9" t="s">
        <v>11</v>
      </c>
      <c r="S2" s="9" t="s">
        <v>14</v>
      </c>
      <c r="T2" s="9" t="s">
        <v>17</v>
      </c>
      <c r="U2" s="9" t="s">
        <v>20</v>
      </c>
      <c r="V2" s="9" t="s">
        <v>23</v>
      </c>
      <c r="W2" s="9" t="s">
        <v>26</v>
      </c>
      <c r="X2" s="9" t="s">
        <v>29</v>
      </c>
      <c r="Y2" s="9" t="s">
        <v>60</v>
      </c>
      <c r="Z2" s="9" t="s">
        <v>35</v>
      </c>
      <c r="AA2" s="9" t="s">
        <v>61</v>
      </c>
    </row>
    <row r="3" spans="1:27" x14ac:dyDescent="0.25">
      <c r="A3" s="10" t="s">
        <v>561</v>
      </c>
      <c r="B3" s="11"/>
      <c r="C3" s="11"/>
      <c r="D3" s="11"/>
      <c r="E3" s="11"/>
      <c r="F3" s="11"/>
      <c r="G3" s="11"/>
      <c r="H3" s="11">
        <v>743817000000</v>
      </c>
      <c r="I3" s="11">
        <v>926405000000</v>
      </c>
      <c r="J3" s="11">
        <v>14254000000</v>
      </c>
      <c r="K3" s="11">
        <v>52594000000</v>
      </c>
      <c r="L3" s="11">
        <v>841670432600</v>
      </c>
      <c r="M3" s="11">
        <v>57936212556</v>
      </c>
      <c r="N3" s="11"/>
      <c r="O3" s="11"/>
      <c r="P3" s="12">
        <f t="shared" ref="P3:P34" si="0">IFERROR(B3/H3,"")</f>
        <v>0</v>
      </c>
      <c r="Q3" s="12">
        <f t="shared" ref="Q3:Q34" si="1">IFERROR(B3/I3,"")</f>
        <v>0</v>
      </c>
      <c r="R3" s="12" t="str">
        <f t="shared" ref="R3:R34" si="2">IFERROR(B3/C3,"")</f>
        <v/>
      </c>
      <c r="S3" s="12" t="str">
        <f t="shared" ref="S3:S34" si="3">IFERROR(E3/C3,"")</f>
        <v/>
      </c>
      <c r="T3" s="12" t="str">
        <f t="shared" ref="T3:T34" si="4">IFERROR(D3/C3,"")</f>
        <v/>
      </c>
      <c r="U3" s="13" t="str">
        <f t="shared" ref="U3:U34" si="5">IFERROR(J3/F3,"")</f>
        <v/>
      </c>
      <c r="V3" s="13" t="str">
        <f t="shared" ref="V3:V34" si="6">IFERROR((L3+J3-K3)/F3,"")</f>
        <v/>
      </c>
      <c r="W3" s="12">
        <f t="shared" ref="W3:W34" si="7">IFERROR(G3/(J3+H3),"")</f>
        <v>0</v>
      </c>
      <c r="X3" s="12" t="str">
        <f t="shared" ref="X3:X34" si="8">IFERROR(M3/B3,"")</f>
        <v/>
      </c>
      <c r="Y3" s="13" t="str">
        <f t="shared" ref="Y3:Y34" si="9">IFERROR(B3/O3,"")</f>
        <v/>
      </c>
      <c r="Z3" s="13" t="str">
        <f t="shared" ref="Z3:Z34" si="10">IFERROR(L3/B3,"")</f>
        <v/>
      </c>
      <c r="AA3" s="13" t="str">
        <f t="shared" ref="AA3:AA34" si="11">IFERROR(B3/N3,"")</f>
        <v/>
      </c>
    </row>
    <row r="4" spans="1:27" x14ac:dyDescent="0.25">
      <c r="A4" s="10" t="s">
        <v>562</v>
      </c>
      <c r="B4" s="11">
        <v>2209884073</v>
      </c>
      <c r="C4" s="11">
        <v>84640663563</v>
      </c>
      <c r="D4" s="11">
        <v>26122255373</v>
      </c>
      <c r="E4" s="11">
        <v>10800979880</v>
      </c>
      <c r="F4" s="11">
        <v>12445426555</v>
      </c>
      <c r="G4" s="11">
        <v>-6342785134</v>
      </c>
      <c r="H4" s="11">
        <v>44023766750</v>
      </c>
      <c r="I4" s="11">
        <v>77179689107</v>
      </c>
      <c r="J4" s="11">
        <v>26072441980</v>
      </c>
      <c r="K4" s="11">
        <v>9860481469</v>
      </c>
      <c r="L4" s="11">
        <v>1443084660</v>
      </c>
      <c r="M4" s="11"/>
      <c r="N4" s="11">
        <v>1.37</v>
      </c>
      <c r="O4" s="11">
        <v>1613054067.8800001</v>
      </c>
      <c r="P4" s="12">
        <f t="shared" si="0"/>
        <v>5.0197523659194838E-2</v>
      </c>
      <c r="Q4" s="12">
        <f t="shared" si="1"/>
        <v>2.8632974537332895E-2</v>
      </c>
      <c r="R4" s="12">
        <f t="shared" si="2"/>
        <v>2.6109011673273713E-2</v>
      </c>
      <c r="S4" s="12">
        <f t="shared" si="3"/>
        <v>0.12760982044948857</v>
      </c>
      <c r="T4" s="12">
        <f t="shared" si="4"/>
        <v>0.30862536130233198</v>
      </c>
      <c r="U4" s="13">
        <f t="shared" si="5"/>
        <v>2.0949416128710583</v>
      </c>
      <c r="V4" s="13">
        <f t="shared" si="6"/>
        <v>1.4185970318475758</v>
      </c>
      <c r="W4" s="12">
        <f t="shared" si="7"/>
        <v>-9.0486850129533392E-2</v>
      </c>
      <c r="X4" s="12">
        <f t="shared" si="8"/>
        <v>0</v>
      </c>
      <c r="Y4" s="13">
        <f t="shared" si="9"/>
        <v>1.3700000000027277</v>
      </c>
      <c r="Z4" s="13">
        <f t="shared" si="10"/>
        <v>0.65301373842699306</v>
      </c>
      <c r="AA4" s="13">
        <f t="shared" si="11"/>
        <v>1613054067.8832116</v>
      </c>
    </row>
    <row r="5" spans="1:27" x14ac:dyDescent="0.25">
      <c r="A5" s="10" t="s">
        <v>563</v>
      </c>
      <c r="B5" s="11">
        <v>-34988256330</v>
      </c>
      <c r="C5" s="11">
        <v>1726275565090</v>
      </c>
      <c r="D5" s="11">
        <v>335791570614</v>
      </c>
      <c r="E5" s="11">
        <v>104797125283</v>
      </c>
      <c r="F5" s="11">
        <v>209226700389</v>
      </c>
      <c r="G5" s="11">
        <v>-112966063698</v>
      </c>
      <c r="H5" s="11">
        <v>1608335396789</v>
      </c>
      <c r="I5" s="11">
        <v>2913195854371</v>
      </c>
      <c r="J5" s="11">
        <v>901016063319</v>
      </c>
      <c r="K5" s="11">
        <v>51269902547</v>
      </c>
      <c r="L5" s="11">
        <v>2711800000000</v>
      </c>
      <c r="M5" s="11">
        <v>0</v>
      </c>
      <c r="N5" s="11">
        <v>-14.5</v>
      </c>
      <c r="O5" s="11">
        <v>2412983195.1700001</v>
      </c>
      <c r="P5" s="12">
        <f t="shared" si="0"/>
        <v>-2.1754328357041167E-2</v>
      </c>
      <c r="Q5" s="12">
        <f t="shared" si="1"/>
        <v>-1.2010265728444975E-2</v>
      </c>
      <c r="R5" s="12">
        <f t="shared" si="2"/>
        <v>-2.0268059768415871E-2</v>
      </c>
      <c r="S5" s="12">
        <f t="shared" si="3"/>
        <v>6.070706635851407E-2</v>
      </c>
      <c r="T5" s="12">
        <f t="shared" si="4"/>
        <v>0.1945179422130634</v>
      </c>
      <c r="U5" s="13">
        <f t="shared" si="5"/>
        <v>4.3064105185609973</v>
      </c>
      <c r="V5" s="13">
        <f t="shared" si="6"/>
        <v>17.022426650854197</v>
      </c>
      <c r="W5" s="12">
        <f t="shared" si="7"/>
        <v>-4.5018031747987207E-2</v>
      </c>
      <c r="X5" s="12">
        <f t="shared" si="8"/>
        <v>0</v>
      </c>
      <c r="Y5" s="13">
        <f t="shared" si="9"/>
        <v>-14.500000000014504</v>
      </c>
      <c r="Z5" s="13">
        <f t="shared" si="10"/>
        <v>-77.506005855879707</v>
      </c>
      <c r="AA5" s="13">
        <f t="shared" si="11"/>
        <v>2412983195.1724138</v>
      </c>
    </row>
    <row r="6" spans="1:27" x14ac:dyDescent="0.25">
      <c r="A6" s="10" t="s">
        <v>564</v>
      </c>
      <c r="B6" s="11">
        <v>67314079000</v>
      </c>
      <c r="C6" s="11">
        <v>226181909000</v>
      </c>
      <c r="D6" s="11">
        <v>114768649000</v>
      </c>
      <c r="E6" s="11">
        <v>100437122000</v>
      </c>
      <c r="F6" s="11">
        <v>18410059000</v>
      </c>
      <c r="G6" s="11">
        <v>12107257000</v>
      </c>
      <c r="H6" s="11">
        <v>351314000000</v>
      </c>
      <c r="I6" s="11">
        <v>584073000000</v>
      </c>
      <c r="J6" s="11">
        <v>180626514</v>
      </c>
      <c r="K6" s="11">
        <v>27275000000</v>
      </c>
      <c r="L6" s="11">
        <v>305367037860</v>
      </c>
      <c r="M6" s="11"/>
      <c r="N6" s="11">
        <v>0.01</v>
      </c>
      <c r="O6" s="11">
        <v>6731407899999.9902</v>
      </c>
      <c r="P6" s="12">
        <f t="shared" si="0"/>
        <v>0.19160659410100367</v>
      </c>
      <c r="Q6" s="12">
        <f t="shared" si="1"/>
        <v>0.11524942772564388</v>
      </c>
      <c r="R6" s="12">
        <f t="shared" si="2"/>
        <v>0.29761035839519773</v>
      </c>
      <c r="S6" s="12">
        <f t="shared" si="3"/>
        <v>0.4440546215391612</v>
      </c>
      <c r="T6" s="12">
        <f t="shared" si="4"/>
        <v>0.5074174566277978</v>
      </c>
      <c r="U6" s="13">
        <f t="shared" si="5"/>
        <v>9.81129468406375E-3</v>
      </c>
      <c r="V6" s="13">
        <f t="shared" si="6"/>
        <v>15.115251090395745</v>
      </c>
      <c r="W6" s="12">
        <f t="shared" si="7"/>
        <v>3.4445069957613615E-2</v>
      </c>
      <c r="X6" s="12">
        <f t="shared" si="8"/>
        <v>0</v>
      </c>
      <c r="Y6" s="13">
        <f t="shared" si="9"/>
        <v>1.0000000000000014E-2</v>
      </c>
      <c r="Z6" s="13">
        <f t="shared" si="10"/>
        <v>4.5364512505623082</v>
      </c>
      <c r="AA6" s="13">
        <f t="shared" si="11"/>
        <v>6731407900000</v>
      </c>
    </row>
    <row r="7" spans="1:27" x14ac:dyDescent="0.25">
      <c r="A7" s="10" t="s">
        <v>565</v>
      </c>
      <c r="B7" s="11">
        <v>24855069000</v>
      </c>
      <c r="C7" s="11">
        <v>1231846297000</v>
      </c>
      <c r="D7" s="11">
        <v>330727327000</v>
      </c>
      <c r="E7" s="11"/>
      <c r="F7" s="11"/>
      <c r="G7" s="11">
        <v>111325981000</v>
      </c>
      <c r="H7" s="11">
        <v>596426541000</v>
      </c>
      <c r="I7" s="11">
        <v>3737671380000</v>
      </c>
      <c r="J7" s="11">
        <v>0</v>
      </c>
      <c r="K7" s="11">
        <v>475179108000</v>
      </c>
      <c r="L7" s="11">
        <v>531750000000</v>
      </c>
      <c r="M7" s="11">
        <v>99725124419.25</v>
      </c>
      <c r="N7" s="11">
        <v>17.010000000000002</v>
      </c>
      <c r="O7" s="11">
        <v>1461203350.97</v>
      </c>
      <c r="P7" s="12">
        <f t="shared" si="0"/>
        <v>4.1673311449766617E-2</v>
      </c>
      <c r="Q7" s="12">
        <f t="shared" si="1"/>
        <v>6.6498807607853422E-3</v>
      </c>
      <c r="R7" s="12">
        <f t="shared" si="2"/>
        <v>2.0177086265170629E-2</v>
      </c>
      <c r="S7" s="12">
        <f t="shared" si="3"/>
        <v>0</v>
      </c>
      <c r="T7" s="12">
        <f t="shared" si="4"/>
        <v>0.2684810010838552</v>
      </c>
      <c r="U7" s="13" t="str">
        <f t="shared" si="5"/>
        <v/>
      </c>
      <c r="V7" s="13" t="str">
        <f t="shared" si="6"/>
        <v/>
      </c>
      <c r="W7" s="12">
        <f t="shared" si="7"/>
        <v>0.18665497483285204</v>
      </c>
      <c r="X7" s="12">
        <f>IFERROR(M7/B7,"")</f>
        <v>4.0122650401513669</v>
      </c>
      <c r="Y7" s="13">
        <f t="shared" si="9"/>
        <v>17.010000000000204</v>
      </c>
      <c r="Z7" s="13">
        <f t="shared" si="10"/>
        <v>21.394026305056727</v>
      </c>
      <c r="AA7" s="13">
        <f t="shared" si="11"/>
        <v>1461203350.9700174</v>
      </c>
    </row>
    <row r="8" spans="1:27" x14ac:dyDescent="0.25">
      <c r="A8" s="10" t="s">
        <v>566</v>
      </c>
      <c r="B8" s="11">
        <v>944840186</v>
      </c>
      <c r="C8" s="11">
        <v>22195380792</v>
      </c>
      <c r="D8" s="11">
        <v>8442283223</v>
      </c>
      <c r="E8" s="11">
        <v>3958967091</v>
      </c>
      <c r="F8" s="11">
        <v>5406065067</v>
      </c>
      <c r="G8" s="11">
        <v>664764979</v>
      </c>
      <c r="H8" s="11">
        <v>4224786781</v>
      </c>
      <c r="I8" s="11">
        <v>17130695267</v>
      </c>
      <c r="J8" s="11">
        <v>940359383</v>
      </c>
      <c r="K8" s="11">
        <v>512313124</v>
      </c>
      <c r="L8" s="11">
        <v>7647836.7000000002</v>
      </c>
      <c r="M8" s="11"/>
      <c r="N8" s="11">
        <v>2.78</v>
      </c>
      <c r="O8" s="11">
        <v>339870570.5</v>
      </c>
      <c r="P8" s="12">
        <f t="shared" si="0"/>
        <v>0.22364209958457545</v>
      </c>
      <c r="Q8" s="12">
        <f t="shared" si="1"/>
        <v>5.5154806694863612E-2</v>
      </c>
      <c r="R8" s="12">
        <f t="shared" si="2"/>
        <v>4.2569226221185349E-2</v>
      </c>
      <c r="S8" s="12">
        <f t="shared" si="3"/>
        <v>0.17836896461028287</v>
      </c>
      <c r="T8" s="12">
        <f t="shared" si="4"/>
        <v>0.38036217094517688</v>
      </c>
      <c r="U8" s="13">
        <f t="shared" si="5"/>
        <v>0.17394525802883756</v>
      </c>
      <c r="V8" s="13">
        <f t="shared" si="6"/>
        <v>8.0593572274885839E-2</v>
      </c>
      <c r="W8" s="12">
        <f t="shared" si="7"/>
        <v>0.12870206532261844</v>
      </c>
      <c r="X8" s="12">
        <f t="shared" si="8"/>
        <v>0</v>
      </c>
      <c r="Y8" s="13">
        <f t="shared" si="9"/>
        <v>2.7800000000294229</v>
      </c>
      <c r="Z8" s="13">
        <f t="shared" si="10"/>
        <v>8.094317762221007E-3</v>
      </c>
      <c r="AA8" s="13">
        <f t="shared" si="11"/>
        <v>339870570.50359714</v>
      </c>
    </row>
    <row r="9" spans="1:27" x14ac:dyDescent="0.25">
      <c r="A9" s="10" t="s">
        <v>567</v>
      </c>
      <c r="B9" s="11"/>
      <c r="C9" s="11"/>
      <c r="D9" s="11"/>
      <c r="E9" s="11"/>
      <c r="F9" s="11"/>
      <c r="G9" s="11"/>
      <c r="H9" s="11">
        <v>45796614405</v>
      </c>
      <c r="I9" s="11">
        <v>98094084203</v>
      </c>
      <c r="J9" s="11">
        <v>30663851712</v>
      </c>
      <c r="K9" s="11">
        <v>1406436911</v>
      </c>
      <c r="L9" s="11"/>
      <c r="M9" s="11"/>
      <c r="N9" s="11"/>
      <c r="O9" s="11"/>
      <c r="P9" s="12">
        <f t="shared" si="0"/>
        <v>0</v>
      </c>
      <c r="Q9" s="12">
        <f t="shared" si="1"/>
        <v>0</v>
      </c>
      <c r="R9" s="12" t="str">
        <f t="shared" si="2"/>
        <v/>
      </c>
      <c r="S9" s="12" t="str">
        <f t="shared" si="3"/>
        <v/>
      </c>
      <c r="T9" s="12" t="str">
        <f t="shared" si="4"/>
        <v/>
      </c>
      <c r="U9" s="13" t="str">
        <f t="shared" si="5"/>
        <v/>
      </c>
      <c r="V9" s="13" t="str">
        <f t="shared" si="6"/>
        <v/>
      </c>
      <c r="W9" s="12">
        <f t="shared" si="7"/>
        <v>0</v>
      </c>
      <c r="X9" s="12" t="str">
        <f t="shared" si="8"/>
        <v/>
      </c>
      <c r="Y9" s="13" t="str">
        <f t="shared" si="9"/>
        <v/>
      </c>
      <c r="Z9" s="13" t="str">
        <f t="shared" si="10"/>
        <v/>
      </c>
      <c r="AA9" s="13" t="str">
        <f t="shared" si="11"/>
        <v/>
      </c>
    </row>
    <row r="10" spans="1:27" x14ac:dyDescent="0.25">
      <c r="A10" s="10" t="s">
        <v>568</v>
      </c>
      <c r="B10" s="11">
        <v>91067016000</v>
      </c>
      <c r="C10" s="11">
        <v>2442984303000</v>
      </c>
      <c r="D10" s="11">
        <v>1260216938000</v>
      </c>
      <c r="E10" s="11"/>
      <c r="F10" s="11">
        <v>174699932000</v>
      </c>
      <c r="G10" s="11">
        <v>728211603000</v>
      </c>
      <c r="H10" s="11">
        <v>1841214359000</v>
      </c>
      <c r="I10" s="11">
        <v>9018822591000</v>
      </c>
      <c r="J10" s="11">
        <v>0</v>
      </c>
      <c r="K10" s="11">
        <v>1523844647000</v>
      </c>
      <c r="L10" s="11">
        <v>1603693878510</v>
      </c>
      <c r="M10" s="11">
        <v>155201483385.19</v>
      </c>
      <c r="N10" s="11">
        <v>126.62</v>
      </c>
      <c r="O10" s="11">
        <v>719215100.29999995</v>
      </c>
      <c r="P10" s="12">
        <f t="shared" si="0"/>
        <v>4.9460300781849376E-2</v>
      </c>
      <c r="Q10" s="12">
        <f t="shared" si="1"/>
        <v>1.0097439558338464E-2</v>
      </c>
      <c r="R10" s="12">
        <f t="shared" si="2"/>
        <v>3.7276955029211252E-2</v>
      </c>
      <c r="S10" s="12">
        <f t="shared" si="3"/>
        <v>0</v>
      </c>
      <c r="T10" s="12">
        <f t="shared" si="4"/>
        <v>0.5158514266556874</v>
      </c>
      <c r="U10" s="13">
        <f t="shared" si="5"/>
        <v>0</v>
      </c>
      <c r="V10" s="13">
        <f t="shared" si="6"/>
        <v>0.45706504058627795</v>
      </c>
      <c r="W10" s="12">
        <f t="shared" si="7"/>
        <v>0.39550615029719088</v>
      </c>
      <c r="X10" s="12">
        <f t="shared" si="8"/>
        <v>1.7042557250935948</v>
      </c>
      <c r="Y10" s="13">
        <f t="shared" si="9"/>
        <v>126.62000000001947</v>
      </c>
      <c r="Z10" s="13">
        <f t="shared" si="10"/>
        <v>17.610040923159271</v>
      </c>
      <c r="AA10" s="13">
        <f t="shared" si="11"/>
        <v>719215100.30011058</v>
      </c>
    </row>
    <row r="11" spans="1:27" x14ac:dyDescent="0.25">
      <c r="A11" s="10" t="s">
        <v>569</v>
      </c>
      <c r="B11" s="11">
        <v>172419425000</v>
      </c>
      <c r="C11" s="11">
        <v>180380683000</v>
      </c>
      <c r="D11" s="11">
        <v>162980263000</v>
      </c>
      <c r="E11" s="11">
        <v>145530106000</v>
      </c>
      <c r="F11" s="11">
        <v>223789074000</v>
      </c>
      <c r="G11" s="11">
        <v>214446087000</v>
      </c>
      <c r="H11" s="11">
        <v>653984166000</v>
      </c>
      <c r="I11" s="11">
        <v>1606777365000</v>
      </c>
      <c r="J11" s="11">
        <v>914776306000</v>
      </c>
      <c r="K11" s="11">
        <v>267280980000</v>
      </c>
      <c r="L11" s="11">
        <v>2359089444017.25</v>
      </c>
      <c r="M11" s="11">
        <v>50123885602</v>
      </c>
      <c r="N11" s="11">
        <v>28.31</v>
      </c>
      <c r="O11" s="11">
        <v>6090407099.96</v>
      </c>
      <c r="P11" s="12">
        <f t="shared" si="0"/>
        <v>0.26364464762897638</v>
      </c>
      <c r="Q11" s="12">
        <f t="shared" si="1"/>
        <v>0.10730760138633146</v>
      </c>
      <c r="R11" s="12">
        <f t="shared" si="2"/>
        <v>0.95586413208114973</v>
      </c>
      <c r="S11" s="12">
        <f t="shared" si="3"/>
        <v>0.80679429515188161</v>
      </c>
      <c r="T11" s="12">
        <f t="shared" si="4"/>
        <v>0.90353501433410144</v>
      </c>
      <c r="U11" s="13">
        <f t="shared" si="5"/>
        <v>4.0876718851788088</v>
      </c>
      <c r="V11" s="13">
        <f t="shared" si="6"/>
        <v>13.43490419919808</v>
      </c>
      <c r="W11" s="12">
        <f t="shared" si="7"/>
        <v>0.13669778836701846</v>
      </c>
      <c r="X11" s="12">
        <f t="shared" si="8"/>
        <v>0.29070904048079271</v>
      </c>
      <c r="Y11" s="13">
        <f t="shared" si="9"/>
        <v>28.310000000021738</v>
      </c>
      <c r="Z11" s="13">
        <f t="shared" si="10"/>
        <v>13.68227184389027</v>
      </c>
      <c r="AA11" s="13">
        <f t="shared" si="11"/>
        <v>6090407099.9646769</v>
      </c>
    </row>
    <row r="12" spans="1:27" x14ac:dyDescent="0.25">
      <c r="A12" s="10" t="s">
        <v>570</v>
      </c>
      <c r="B12" s="11">
        <v>2053132686</v>
      </c>
      <c r="C12" s="11">
        <v>1386242971</v>
      </c>
      <c r="D12" s="11">
        <v>1388275044</v>
      </c>
      <c r="E12" s="11">
        <v>-65875541</v>
      </c>
      <c r="F12" s="11">
        <v>522732506</v>
      </c>
      <c r="G12" s="11"/>
      <c r="H12" s="11">
        <v>60332298336</v>
      </c>
      <c r="I12" s="11">
        <v>75838782897</v>
      </c>
      <c r="J12" s="11">
        <v>10368155248</v>
      </c>
      <c r="K12" s="11">
        <v>36890303</v>
      </c>
      <c r="L12" s="11">
        <v>69361600000</v>
      </c>
      <c r="M12" s="11"/>
      <c r="N12" s="11">
        <v>16.309999999999999</v>
      </c>
      <c r="O12" s="11">
        <v>125881832.37</v>
      </c>
      <c r="P12" s="12">
        <f t="shared" si="0"/>
        <v>3.4030407304654349E-2</v>
      </c>
      <c r="Q12" s="12">
        <f t="shared" si="1"/>
        <v>2.707233169588771E-2</v>
      </c>
      <c r="R12" s="12">
        <f t="shared" si="2"/>
        <v>1.4810770759175953</v>
      </c>
      <c r="S12" s="12">
        <f t="shared" si="3"/>
        <v>-4.7520919765226349E-2</v>
      </c>
      <c r="T12" s="12">
        <f t="shared" si="4"/>
        <v>1.0014658851604739</v>
      </c>
      <c r="U12" s="13">
        <f t="shared" si="5"/>
        <v>19.834533205784606</v>
      </c>
      <c r="V12" s="13">
        <f t="shared" si="6"/>
        <v>152.45438925315273</v>
      </c>
      <c r="W12" s="12">
        <f t="shared" si="7"/>
        <v>0</v>
      </c>
      <c r="X12" s="12">
        <f t="shared" si="8"/>
        <v>0</v>
      </c>
      <c r="Y12" s="13">
        <f t="shared" si="9"/>
        <v>16.31000000035986</v>
      </c>
      <c r="Z12" s="13">
        <f t="shared" si="10"/>
        <v>33.783301231803584</v>
      </c>
      <c r="AA12" s="13">
        <f t="shared" si="11"/>
        <v>125881832.37277745</v>
      </c>
    </row>
    <row r="13" spans="1:27" x14ac:dyDescent="0.25">
      <c r="A13" s="10" t="s">
        <v>571</v>
      </c>
      <c r="B13" s="11">
        <v>-60428299000</v>
      </c>
      <c r="C13" s="11">
        <v>456926804000</v>
      </c>
      <c r="D13" s="11">
        <v>128483509000</v>
      </c>
      <c r="E13" s="11">
        <v>-19182533000</v>
      </c>
      <c r="F13" s="11">
        <v>184337475000</v>
      </c>
      <c r="G13" s="11">
        <v>6679525000</v>
      </c>
      <c r="H13" s="11">
        <v>548019568000</v>
      </c>
      <c r="I13" s="11">
        <v>1422743705000</v>
      </c>
      <c r="J13" s="11">
        <v>657992600000</v>
      </c>
      <c r="K13" s="11">
        <v>57684338000</v>
      </c>
      <c r="L13" s="11">
        <v>768654755550</v>
      </c>
      <c r="M13" s="11"/>
      <c r="N13" s="11">
        <v>-293.60000000000002</v>
      </c>
      <c r="O13" s="11">
        <v>205818457.08000001</v>
      </c>
      <c r="P13" s="12">
        <f t="shared" si="0"/>
        <v>-0.11026668120726667</v>
      </c>
      <c r="Q13" s="12">
        <f t="shared" si="1"/>
        <v>-4.2473074235109688E-2</v>
      </c>
      <c r="R13" s="12">
        <f t="shared" si="2"/>
        <v>-0.13224940728143408</v>
      </c>
      <c r="S13" s="12">
        <f t="shared" si="3"/>
        <v>-4.1981632139050436E-2</v>
      </c>
      <c r="T13" s="12">
        <f t="shared" si="4"/>
        <v>0.28119057117078211</v>
      </c>
      <c r="U13" s="13">
        <f t="shared" si="5"/>
        <v>3.5694999077100302</v>
      </c>
      <c r="V13" s="13">
        <f t="shared" si="6"/>
        <v>7.4263956232990607</v>
      </c>
      <c r="W13" s="12">
        <f t="shared" si="7"/>
        <v>5.5385220624075823E-3</v>
      </c>
      <c r="X13" s="12">
        <f t="shared" si="8"/>
        <v>0</v>
      </c>
      <c r="Y13" s="13">
        <f t="shared" si="9"/>
        <v>-293.60000000637456</v>
      </c>
      <c r="Z13" s="13">
        <f t="shared" si="10"/>
        <v>-12.720112402137945</v>
      </c>
      <c r="AA13" s="13">
        <f t="shared" si="11"/>
        <v>205818457.08446866</v>
      </c>
    </row>
    <row r="14" spans="1:27" x14ac:dyDescent="0.25">
      <c r="A14" s="10" t="s">
        <v>572</v>
      </c>
      <c r="B14" s="11">
        <v>1173332669</v>
      </c>
      <c r="C14" s="11">
        <v>15012535627</v>
      </c>
      <c r="D14" s="11">
        <v>6422210758</v>
      </c>
      <c r="E14" s="11">
        <v>843719723</v>
      </c>
      <c r="F14" s="11">
        <v>2691387425.6700001</v>
      </c>
      <c r="G14" s="11">
        <v>1179298816</v>
      </c>
      <c r="H14" s="11">
        <v>26496527087</v>
      </c>
      <c r="I14" s="11">
        <v>35577738902</v>
      </c>
      <c r="J14" s="11">
        <v>0</v>
      </c>
      <c r="K14" s="11">
        <v>4155117904</v>
      </c>
      <c r="L14" s="11">
        <v>22269136813.18</v>
      </c>
      <c r="M14" s="11"/>
      <c r="N14" s="11">
        <v>1.08</v>
      </c>
      <c r="O14" s="11">
        <v>1086419137.96</v>
      </c>
      <c r="P14" s="12">
        <f t="shared" si="0"/>
        <v>4.428250786027247E-2</v>
      </c>
      <c r="Q14" s="12">
        <f t="shared" si="1"/>
        <v>3.2979405246409327E-2</v>
      </c>
      <c r="R14" s="12">
        <f t="shared" si="2"/>
        <v>7.8156861582380846E-2</v>
      </c>
      <c r="S14" s="12">
        <f t="shared" si="3"/>
        <v>5.6201013870206748E-2</v>
      </c>
      <c r="T14" s="12">
        <f t="shared" si="4"/>
        <v>0.42778987624513432</v>
      </c>
      <c r="U14" s="13">
        <f t="shared" si="5"/>
        <v>0</v>
      </c>
      <c r="V14" s="13">
        <f t="shared" si="6"/>
        <v>6.7303646945852309</v>
      </c>
      <c r="W14" s="12">
        <f t="shared" si="7"/>
        <v>4.4507674991814294E-2</v>
      </c>
      <c r="X14" s="12">
        <f t="shared" si="8"/>
        <v>0</v>
      </c>
      <c r="Y14" s="13">
        <f t="shared" si="9"/>
        <v>1.0800000000029455</v>
      </c>
      <c r="Z14" s="13">
        <f t="shared" si="10"/>
        <v>18.979388711778892</v>
      </c>
      <c r="AA14" s="13">
        <f t="shared" si="11"/>
        <v>1086419137.9629629</v>
      </c>
    </row>
    <row r="15" spans="1:27" x14ac:dyDescent="0.25">
      <c r="A15" s="10" t="s">
        <v>573</v>
      </c>
      <c r="B15" s="11">
        <v>10467889000</v>
      </c>
      <c r="C15" s="11">
        <v>120858145000</v>
      </c>
      <c r="D15" s="11">
        <v>15249846000</v>
      </c>
      <c r="E15" s="11">
        <v>21752657000</v>
      </c>
      <c r="F15" s="11">
        <v>47364190000</v>
      </c>
      <c r="G15" s="11">
        <v>5975995000</v>
      </c>
      <c r="H15" s="11">
        <v>157487779000</v>
      </c>
      <c r="I15" s="11">
        <v>250613679000</v>
      </c>
      <c r="J15" s="11">
        <v>43620492000</v>
      </c>
      <c r="K15" s="11">
        <v>2501133000</v>
      </c>
      <c r="L15" s="11">
        <v>366437933316</v>
      </c>
      <c r="M15" s="11"/>
      <c r="N15" s="11">
        <v>15.93</v>
      </c>
      <c r="O15" s="11">
        <v>657117953.54999995</v>
      </c>
      <c r="P15" s="12">
        <f t="shared" si="0"/>
        <v>6.6467944792084468E-2</v>
      </c>
      <c r="Q15" s="12">
        <f t="shared" si="1"/>
        <v>4.1769024906258209E-2</v>
      </c>
      <c r="R15" s="12">
        <f t="shared" si="2"/>
        <v>8.661302057879508E-2</v>
      </c>
      <c r="S15" s="12">
        <f t="shared" si="3"/>
        <v>0.17998503121159107</v>
      </c>
      <c r="T15" s="12">
        <f t="shared" si="4"/>
        <v>0.12617971258784422</v>
      </c>
      <c r="U15" s="13">
        <f t="shared" si="5"/>
        <v>0.92095931546596699</v>
      </c>
      <c r="V15" s="13">
        <f t="shared" si="6"/>
        <v>8.6047558781433828</v>
      </c>
      <c r="W15" s="12">
        <f t="shared" si="7"/>
        <v>2.9715311907783246E-2</v>
      </c>
      <c r="X15" s="12">
        <f t="shared" si="8"/>
        <v>0</v>
      </c>
      <c r="Y15" s="13">
        <f t="shared" si="9"/>
        <v>15.929999999921629</v>
      </c>
      <c r="Z15" s="13">
        <f t="shared" si="10"/>
        <v>35.005905518868225</v>
      </c>
      <c r="AA15" s="13">
        <f t="shared" si="11"/>
        <v>657117953.54676712</v>
      </c>
    </row>
    <row r="16" spans="1:27" x14ac:dyDescent="0.25">
      <c r="A16" s="10" t="s">
        <v>574</v>
      </c>
      <c r="B16" s="11">
        <v>-223823634000</v>
      </c>
      <c r="C16" s="11">
        <v>245314216000</v>
      </c>
      <c r="D16" s="11">
        <v>-16436508000</v>
      </c>
      <c r="E16" s="11">
        <v>-164307344000</v>
      </c>
      <c r="F16" s="11">
        <v>-55950281000</v>
      </c>
      <c r="G16" s="11">
        <v>-34968630010</v>
      </c>
      <c r="H16" s="11">
        <v>-128890792000</v>
      </c>
      <c r="I16" s="11">
        <v>322300263000</v>
      </c>
      <c r="J16" s="11">
        <v>207857661000</v>
      </c>
      <c r="K16" s="11">
        <v>5851967000</v>
      </c>
      <c r="L16" s="11">
        <v>21645789.420000002</v>
      </c>
      <c r="M16" s="11"/>
      <c r="N16" s="11">
        <v>-2217.21</v>
      </c>
      <c r="O16" s="11">
        <v>100948324.25</v>
      </c>
      <c r="P16" s="12">
        <f t="shared" si="0"/>
        <v>1.736537036718651</v>
      </c>
      <c r="Q16" s="12">
        <f t="shared" si="1"/>
        <v>-0.69445687669203049</v>
      </c>
      <c r="R16" s="12">
        <f t="shared" si="2"/>
        <v>-0.91239569255130326</v>
      </c>
      <c r="S16" s="12">
        <f t="shared" si="3"/>
        <v>-0.66978321386804585</v>
      </c>
      <c r="T16" s="12">
        <f t="shared" si="4"/>
        <v>-6.7001856916437327E-2</v>
      </c>
      <c r="U16" s="13">
        <f t="shared" si="5"/>
        <v>-3.7150423069367604</v>
      </c>
      <c r="V16" s="13">
        <f t="shared" si="6"/>
        <v>-3.6108369105316918</v>
      </c>
      <c r="W16" s="12">
        <f t="shared" si="7"/>
        <v>-0.4428265987093904</v>
      </c>
      <c r="X16" s="12">
        <f t="shared" si="8"/>
        <v>0</v>
      </c>
      <c r="Y16" s="13">
        <f t="shared" si="9"/>
        <v>-2217.2099998975464</v>
      </c>
      <c r="Z16" s="13">
        <f t="shared" si="10"/>
        <v>-9.6709132244720869E-5</v>
      </c>
      <c r="AA16" s="13">
        <f t="shared" si="11"/>
        <v>100948324.24533536</v>
      </c>
    </row>
    <row r="17" spans="1:27" x14ac:dyDescent="0.25">
      <c r="A17" s="10" t="s">
        <v>575</v>
      </c>
      <c r="B17" s="11">
        <v>-12319000</v>
      </c>
      <c r="C17" s="11">
        <v>27837095000</v>
      </c>
      <c r="D17" s="11">
        <v>4746618000</v>
      </c>
      <c r="E17" s="11">
        <v>234694000</v>
      </c>
      <c r="F17" s="11">
        <v>734842000</v>
      </c>
      <c r="G17" s="11">
        <v>2431200000</v>
      </c>
      <c r="H17" s="11">
        <v>304897955000</v>
      </c>
      <c r="I17" s="11">
        <v>745204484000</v>
      </c>
      <c r="J17" s="11">
        <v>29164306000</v>
      </c>
      <c r="K17" s="11">
        <v>30058834000</v>
      </c>
      <c r="L17" s="11">
        <v>658230071775</v>
      </c>
      <c r="M17" s="11"/>
      <c r="N17" s="11">
        <v>6.52</v>
      </c>
      <c r="O17" s="11">
        <v>-1889417.18</v>
      </c>
      <c r="P17" s="12">
        <f t="shared" si="0"/>
        <v>-4.0403681946636868E-5</v>
      </c>
      <c r="Q17" s="12">
        <f t="shared" si="1"/>
        <v>-1.6531033111711657E-5</v>
      </c>
      <c r="R17" s="12">
        <f t="shared" si="2"/>
        <v>-4.4253899338275059E-4</v>
      </c>
      <c r="S17" s="12">
        <f t="shared" si="3"/>
        <v>8.4309803160135775E-3</v>
      </c>
      <c r="T17" s="12">
        <f t="shared" si="4"/>
        <v>0.17051412871925034</v>
      </c>
      <c r="U17" s="13">
        <f t="shared" si="5"/>
        <v>39.687859431006935</v>
      </c>
      <c r="V17" s="13">
        <f t="shared" si="6"/>
        <v>894.52636590586815</v>
      </c>
      <c r="W17" s="12">
        <f t="shared" si="7"/>
        <v>7.2776852815469627E-3</v>
      </c>
      <c r="X17" s="12">
        <f t="shared" si="8"/>
        <v>0</v>
      </c>
      <c r="Y17" s="13">
        <f t="shared" si="9"/>
        <v>6.5199999928020134</v>
      </c>
      <c r="Z17" s="13">
        <f>IFERROR(L17/B17,"")</f>
        <v>-53432.102587466514</v>
      </c>
      <c r="AA17" s="13">
        <f t="shared" si="11"/>
        <v>-1889417.1779141105</v>
      </c>
    </row>
    <row r="18" spans="1:27" x14ac:dyDescent="0.25">
      <c r="A18" s="10" t="s">
        <v>576</v>
      </c>
      <c r="B18" s="11">
        <v>-57789441000</v>
      </c>
      <c r="C18" s="11">
        <v>655953911000</v>
      </c>
      <c r="D18" s="11">
        <v>80050055000</v>
      </c>
      <c r="E18" s="11">
        <v>-19055527000</v>
      </c>
      <c r="F18" s="11">
        <v>25035831000</v>
      </c>
      <c r="G18" s="11">
        <v>840397000</v>
      </c>
      <c r="H18" s="11">
        <v>559054202000</v>
      </c>
      <c r="I18" s="11">
        <v>787361020000</v>
      </c>
      <c r="J18" s="11">
        <v>39140840000</v>
      </c>
      <c r="K18" s="11">
        <v>9157994000</v>
      </c>
      <c r="L18" s="11">
        <v>317939987182.62</v>
      </c>
      <c r="M18" s="11">
        <v>3880987280</v>
      </c>
      <c r="N18" s="11">
        <v>-9.9700000000000006</v>
      </c>
      <c r="O18" s="11">
        <v>5796333099.3000002</v>
      </c>
      <c r="P18" s="12">
        <f t="shared" si="0"/>
        <v>-0.10337001455898188</v>
      </c>
      <c r="Q18" s="12">
        <f t="shared" si="1"/>
        <v>-7.339637032069482E-2</v>
      </c>
      <c r="R18" s="12">
        <f t="shared" si="2"/>
        <v>-8.8099849746913081E-2</v>
      </c>
      <c r="S18" s="12">
        <f t="shared" si="3"/>
        <v>-2.9050100442194023E-2</v>
      </c>
      <c r="T18" s="12">
        <f t="shared" si="4"/>
        <v>0.12203609683180927</v>
      </c>
      <c r="U18" s="13">
        <f t="shared" si="5"/>
        <v>1.5633928827846777</v>
      </c>
      <c r="V18" s="13">
        <f t="shared" si="6"/>
        <v>13.896995597334875</v>
      </c>
      <c r="W18" s="12">
        <f t="shared" si="7"/>
        <v>1.4048879395426349E-3</v>
      </c>
      <c r="X18" s="12">
        <f t="shared" si="8"/>
        <v>-6.7157377071704161E-2</v>
      </c>
      <c r="Y18" s="13">
        <f t="shared" si="9"/>
        <v>-9.9699999999963769</v>
      </c>
      <c r="Z18" s="13">
        <f t="shared" si="10"/>
        <v>-5.5016968788921146</v>
      </c>
      <c r="AA18" s="13">
        <f t="shared" si="11"/>
        <v>5796333099.2978935</v>
      </c>
    </row>
    <row r="19" spans="1:27" x14ac:dyDescent="0.25">
      <c r="A19" s="10" t="s">
        <v>577</v>
      </c>
      <c r="B19" s="11">
        <v>700745752</v>
      </c>
      <c r="C19" s="11">
        <v>8951856329</v>
      </c>
      <c r="D19" s="11">
        <v>6649922744</v>
      </c>
      <c r="E19" s="11">
        <v>1811064215</v>
      </c>
      <c r="F19" s="11">
        <v>2451294191</v>
      </c>
      <c r="G19" s="11">
        <v>-322568365</v>
      </c>
      <c r="H19" s="11">
        <v>20898867598</v>
      </c>
      <c r="I19" s="11">
        <v>33051897445</v>
      </c>
      <c r="J19" s="11">
        <v>538732605</v>
      </c>
      <c r="K19" s="11">
        <v>28934840</v>
      </c>
      <c r="L19" s="11">
        <v>1623653465.29</v>
      </c>
      <c r="M19" s="11"/>
      <c r="N19" s="11">
        <v>111.23</v>
      </c>
      <c r="O19" s="11">
        <v>6299970.7999999998</v>
      </c>
      <c r="P19" s="12">
        <f t="shared" si="0"/>
        <v>3.353032161738087E-2</v>
      </c>
      <c r="Q19" s="12">
        <f t="shared" si="1"/>
        <v>2.120137741459702E-2</v>
      </c>
      <c r="R19" s="12">
        <f t="shared" si="2"/>
        <v>7.8279378739569139E-2</v>
      </c>
      <c r="S19" s="12">
        <f t="shared" si="3"/>
        <v>0.20231158191546977</v>
      </c>
      <c r="T19" s="12">
        <f t="shared" si="4"/>
        <v>0.74285405167386709</v>
      </c>
      <c r="U19" s="13">
        <f t="shared" si="5"/>
        <v>0.21977476509264898</v>
      </c>
      <c r="V19" s="13">
        <f t="shared" si="6"/>
        <v>0.87033667281676352</v>
      </c>
      <c r="W19" s="12">
        <f t="shared" si="7"/>
        <v>-1.5046850484452054E-2</v>
      </c>
      <c r="X19" s="12">
        <f t="shared" si="8"/>
        <v>0</v>
      </c>
      <c r="Y19" s="13">
        <f t="shared" si="9"/>
        <v>111.22999998666661</v>
      </c>
      <c r="Z19" s="13">
        <f t="shared" si="10"/>
        <v>2.317036472438009</v>
      </c>
      <c r="AA19" s="13">
        <f t="shared" si="11"/>
        <v>6299970.799244808</v>
      </c>
    </row>
    <row r="20" spans="1:27" x14ac:dyDescent="0.25">
      <c r="A20" s="10" t="s">
        <v>578</v>
      </c>
      <c r="B20" s="11">
        <v>-1215000000</v>
      </c>
      <c r="C20" s="11">
        <v>81299000000</v>
      </c>
      <c r="D20" s="11">
        <v>32302000000</v>
      </c>
      <c r="E20" s="11">
        <v>-9985000000</v>
      </c>
      <c r="F20" s="11">
        <v>-9345000000</v>
      </c>
      <c r="G20" s="11">
        <v>-15817000000</v>
      </c>
      <c r="H20" s="11">
        <v>879261000000</v>
      </c>
      <c r="I20" s="11">
        <v>1489461000000</v>
      </c>
      <c r="J20" s="11">
        <v>82567217000</v>
      </c>
      <c r="K20" s="11">
        <v>23447000000</v>
      </c>
      <c r="L20" s="11">
        <v>869002265480</v>
      </c>
      <c r="M20" s="11"/>
      <c r="N20" s="11">
        <v>-2.96</v>
      </c>
      <c r="O20" s="11">
        <v>410472972.97000003</v>
      </c>
      <c r="P20" s="12">
        <f t="shared" si="0"/>
        <v>-1.3818422516181203E-3</v>
      </c>
      <c r="Q20" s="12">
        <f t="shared" si="1"/>
        <v>-8.1573132831272519E-4</v>
      </c>
      <c r="R20" s="12">
        <f t="shared" si="2"/>
        <v>-1.4944833269781917E-2</v>
      </c>
      <c r="S20" s="12">
        <f t="shared" si="3"/>
        <v>-0.12281823884672628</v>
      </c>
      <c r="T20" s="12">
        <f t="shared" si="4"/>
        <v>0.39732346031316501</v>
      </c>
      <c r="U20" s="13">
        <f t="shared" si="5"/>
        <v>-8.8354432316746916</v>
      </c>
      <c r="V20" s="13">
        <f t="shared" si="6"/>
        <v>-99.317547616907433</v>
      </c>
      <c r="W20" s="12">
        <f t="shared" si="7"/>
        <v>-1.64447244533272E-2</v>
      </c>
      <c r="X20" s="12">
        <f t="shared" si="8"/>
        <v>0</v>
      </c>
      <c r="Y20" s="13">
        <f t="shared" si="9"/>
        <v>-2.9600000000214384</v>
      </c>
      <c r="Z20" s="13">
        <f t="shared" si="10"/>
        <v>-715.22820204115226</v>
      </c>
      <c r="AA20" s="13">
        <f t="shared" si="11"/>
        <v>410472972.97297299</v>
      </c>
    </row>
    <row r="21" spans="1:27" x14ac:dyDescent="0.25">
      <c r="A21" s="10" t="s">
        <v>579</v>
      </c>
      <c r="B21" s="11">
        <v>662482896602</v>
      </c>
      <c r="C21" s="11">
        <v>1285260622561</v>
      </c>
      <c r="D21" s="11">
        <v>724078379366</v>
      </c>
      <c r="E21" s="11">
        <v>-153810003511</v>
      </c>
      <c r="F21" s="11">
        <v>-47641658031</v>
      </c>
      <c r="G21" s="11">
        <v>427386998059</v>
      </c>
      <c r="H21" s="11">
        <v>2541723000000</v>
      </c>
      <c r="I21" s="11">
        <v>2548004000000</v>
      </c>
      <c r="J21" s="11">
        <v>5120924</v>
      </c>
      <c r="K21" s="11">
        <v>5908</v>
      </c>
      <c r="L21" s="11">
        <v>1705265955200</v>
      </c>
      <c r="M21" s="11">
        <v>4000000</v>
      </c>
      <c r="N21" s="11">
        <v>-527.01</v>
      </c>
      <c r="O21" s="11">
        <v>-1257059442.1400001</v>
      </c>
      <c r="P21" s="12">
        <f>IFERROR(B21/H21,"")</f>
        <v>0.2606432316196533</v>
      </c>
      <c r="Q21" s="12">
        <f t="shared" si="1"/>
        <v>0.26000072864956258</v>
      </c>
      <c r="R21" s="12">
        <f t="shared" si="2"/>
        <v>0.51544634992546645</v>
      </c>
      <c r="S21" s="12">
        <f t="shared" si="3"/>
        <v>-0.11967222897136569</v>
      </c>
      <c r="T21" s="12">
        <f t="shared" si="4"/>
        <v>0.56337085775117524</v>
      </c>
      <c r="U21" s="13">
        <f t="shared" si="5"/>
        <v>-1.0748836651881134E-4</v>
      </c>
      <c r="V21" s="13">
        <f t="shared" si="6"/>
        <v>-35.793696959631326</v>
      </c>
      <c r="W21" s="12">
        <f t="shared" si="7"/>
        <v>0.16814819592255645</v>
      </c>
      <c r="X21" s="12">
        <f t="shared" si="8"/>
        <v>6.0378917259853142E-6</v>
      </c>
      <c r="Y21" s="13">
        <f t="shared" si="9"/>
        <v>-527.00999999983969</v>
      </c>
      <c r="Z21" s="13">
        <f t="shared" si="10"/>
        <v>2.5740528003766308</v>
      </c>
      <c r="AA21" s="13">
        <f t="shared" si="11"/>
        <v>-1257059442.1396179</v>
      </c>
    </row>
    <row r="22" spans="1:27" x14ac:dyDescent="0.25">
      <c r="A22" s="10" t="s">
        <v>580</v>
      </c>
      <c r="B22" s="11"/>
      <c r="C22" s="11"/>
      <c r="D22" s="11"/>
      <c r="E22" s="11"/>
      <c r="F22" s="11"/>
      <c r="G22" s="11"/>
      <c r="H22" s="11"/>
      <c r="I22" s="11"/>
      <c r="J22" s="11">
        <v>0</v>
      </c>
      <c r="K22" s="11"/>
      <c r="L22" s="11">
        <v>296845801500</v>
      </c>
      <c r="M22" s="11"/>
      <c r="N22" s="11"/>
      <c r="O22" s="11"/>
      <c r="P22" s="12" t="str">
        <f t="shared" si="0"/>
        <v/>
      </c>
      <c r="Q22" s="12" t="str">
        <f t="shared" si="1"/>
        <v/>
      </c>
      <c r="R22" s="12" t="str">
        <f t="shared" si="2"/>
        <v/>
      </c>
      <c r="S22" s="12" t="str">
        <f t="shared" si="3"/>
        <v/>
      </c>
      <c r="T22" s="12" t="str">
        <f t="shared" si="4"/>
        <v/>
      </c>
      <c r="U22" s="13" t="str">
        <f t="shared" si="5"/>
        <v/>
      </c>
      <c r="V22" s="13" t="str">
        <f t="shared" si="6"/>
        <v/>
      </c>
      <c r="W22" s="12" t="str">
        <f t="shared" si="7"/>
        <v/>
      </c>
      <c r="X22" s="12" t="str">
        <f t="shared" si="8"/>
        <v/>
      </c>
      <c r="Y22" s="13" t="str">
        <f t="shared" si="9"/>
        <v/>
      </c>
      <c r="Z22" s="13" t="str">
        <f t="shared" si="10"/>
        <v/>
      </c>
      <c r="AA22" s="13" t="str">
        <f t="shared" si="11"/>
        <v/>
      </c>
    </row>
    <row r="23" spans="1:27" x14ac:dyDescent="0.25">
      <c r="A23" s="10" t="s">
        <v>581</v>
      </c>
      <c r="B23" s="11">
        <v>52887879000</v>
      </c>
      <c r="C23" s="11">
        <v>326129593000</v>
      </c>
      <c r="D23" s="11">
        <v>125464850000</v>
      </c>
      <c r="E23" s="11">
        <v>78787282000</v>
      </c>
      <c r="F23" s="11">
        <v>96539183000</v>
      </c>
      <c r="G23" s="11">
        <v>81780823000</v>
      </c>
      <c r="H23" s="11">
        <v>206097509000</v>
      </c>
      <c r="I23" s="11">
        <v>352747469000</v>
      </c>
      <c r="J23" s="11">
        <v>2360032000</v>
      </c>
      <c r="K23" s="11">
        <v>12572367000</v>
      </c>
      <c r="L23" s="11">
        <v>328820843000</v>
      </c>
      <c r="M23" s="11">
        <v>40000000000</v>
      </c>
      <c r="N23" s="11">
        <v>261.37</v>
      </c>
      <c r="O23" s="11">
        <v>202348697.25</v>
      </c>
      <c r="P23" s="12">
        <f t="shared" si="0"/>
        <v>0.25661580897612885</v>
      </c>
      <c r="Q23" s="12">
        <f t="shared" si="1"/>
        <v>0.14993127845801779</v>
      </c>
      <c r="R23" s="12">
        <f t="shared" si="2"/>
        <v>0.16216829179313391</v>
      </c>
      <c r="S23" s="12">
        <f t="shared" si="3"/>
        <v>0.24158274407192482</v>
      </c>
      <c r="T23" s="12">
        <f t="shared" si="4"/>
        <v>0.38470857196942565</v>
      </c>
      <c r="U23" s="13">
        <f t="shared" si="5"/>
        <v>2.4446363918368772E-2</v>
      </c>
      <c r="V23" s="13">
        <f t="shared" si="6"/>
        <v>3.3003025103288888</v>
      </c>
      <c r="W23" s="12">
        <f t="shared" si="7"/>
        <v>0.3923140540164004</v>
      </c>
      <c r="X23" s="12">
        <f t="shared" si="8"/>
        <v>0.75631696253124459</v>
      </c>
      <c r="Y23" s="13">
        <f t="shared" si="9"/>
        <v>261.36999999885097</v>
      </c>
      <c r="Z23" s="13">
        <f t="shared" si="10"/>
        <v>6.2173195298680817</v>
      </c>
      <c r="AA23" s="13">
        <f t="shared" si="11"/>
        <v>202348697.24911046</v>
      </c>
    </row>
    <row r="24" spans="1:27" x14ac:dyDescent="0.25">
      <c r="A24" s="10" t="s">
        <v>582</v>
      </c>
      <c r="B24" s="11">
        <v>-1636221089</v>
      </c>
      <c r="C24" s="11">
        <v>12745272858</v>
      </c>
      <c r="D24" s="11">
        <v>1841120825</v>
      </c>
      <c r="E24" s="11">
        <v>-1397922359</v>
      </c>
      <c r="F24" s="11">
        <v>-1348872632</v>
      </c>
      <c r="G24" s="11"/>
      <c r="H24" s="11">
        <v>6056340079</v>
      </c>
      <c r="I24" s="11">
        <v>9406619756</v>
      </c>
      <c r="J24" s="11">
        <v>471840993</v>
      </c>
      <c r="K24" s="11">
        <v>84808212</v>
      </c>
      <c r="L24" s="11">
        <v>6420000000</v>
      </c>
      <c r="M24" s="11"/>
      <c r="N24" s="11">
        <v>-16.36</v>
      </c>
      <c r="O24" s="11">
        <v>100013514</v>
      </c>
      <c r="P24" s="12">
        <f t="shared" si="0"/>
        <v>-0.27016664646582506</v>
      </c>
      <c r="Q24" s="12">
        <f t="shared" si="1"/>
        <v>-0.17394357712358241</v>
      </c>
      <c r="R24" s="12">
        <f t="shared" si="2"/>
        <v>-0.12837866299370521</v>
      </c>
      <c r="S24" s="12">
        <f t="shared" si="3"/>
        <v>-0.10968163448321523</v>
      </c>
      <c r="T24" s="12">
        <f t="shared" si="4"/>
        <v>0.14445519099611576</v>
      </c>
      <c r="U24" s="13">
        <f t="shared" si="5"/>
        <v>-0.34980396355168986</v>
      </c>
      <c r="V24" s="13">
        <f t="shared" si="6"/>
        <v>-5.0464607402606116</v>
      </c>
      <c r="W24" s="12">
        <f t="shared" si="7"/>
        <v>0</v>
      </c>
      <c r="X24" s="12">
        <f t="shared" si="8"/>
        <v>0</v>
      </c>
      <c r="Y24" s="13">
        <f t="shared" si="9"/>
        <v>-16.359999999600053</v>
      </c>
      <c r="Z24" s="13">
        <f t="shared" si="10"/>
        <v>-3.9236751336114821</v>
      </c>
      <c r="AA24" s="13">
        <f t="shared" si="11"/>
        <v>100013513.99755502</v>
      </c>
    </row>
    <row r="25" spans="1:27" x14ac:dyDescent="0.25">
      <c r="A25" s="10" t="s">
        <v>583</v>
      </c>
      <c r="B25" s="11">
        <v>93673109000</v>
      </c>
      <c r="C25" s="11">
        <v>704266555000</v>
      </c>
      <c r="D25" s="11">
        <v>266593588000</v>
      </c>
      <c r="E25" s="11">
        <v>148688523000</v>
      </c>
      <c r="F25" s="11">
        <v>196746050000</v>
      </c>
      <c r="G25" s="11">
        <v>137508083000</v>
      </c>
      <c r="H25" s="11">
        <v>447022769000</v>
      </c>
      <c r="I25" s="11">
        <v>801653195000</v>
      </c>
      <c r="J25" s="11">
        <v>5771182000</v>
      </c>
      <c r="K25" s="11">
        <v>39555938000</v>
      </c>
      <c r="L25" s="11">
        <v>759296472995</v>
      </c>
      <c r="M25" s="11">
        <v>68146708150</v>
      </c>
      <c r="N25" s="11">
        <v>440.59</v>
      </c>
      <c r="O25" s="11">
        <v>212608341.09</v>
      </c>
      <c r="P25" s="12">
        <f t="shared" si="0"/>
        <v>0.20954885409874949</v>
      </c>
      <c r="Q25" s="12">
        <f t="shared" si="1"/>
        <v>0.11684991662760104</v>
      </c>
      <c r="R25" s="12">
        <f t="shared" si="2"/>
        <v>0.13300803273272008</v>
      </c>
      <c r="S25" s="12">
        <f t="shared" si="3"/>
        <v>0.21112535011690284</v>
      </c>
      <c r="T25" s="12">
        <f t="shared" si="4"/>
        <v>0.37854074726010523</v>
      </c>
      <c r="U25" s="13">
        <f t="shared" si="5"/>
        <v>2.9333153067113673E-2</v>
      </c>
      <c r="V25" s="13">
        <f t="shared" si="6"/>
        <v>3.6875541694229694</v>
      </c>
      <c r="W25" s="12">
        <f t="shared" si="7"/>
        <v>0.30368798588477608</v>
      </c>
      <c r="X25" s="12">
        <f t="shared" si="8"/>
        <v>0.72749489023578795</v>
      </c>
      <c r="Y25" s="13">
        <f t="shared" si="9"/>
        <v>440.58999999603446</v>
      </c>
      <c r="Z25" s="13">
        <f t="shared" si="10"/>
        <v>8.105810526636839</v>
      </c>
      <c r="AA25" s="13">
        <f t="shared" si="11"/>
        <v>212608341.08808646</v>
      </c>
    </row>
    <row r="26" spans="1:27" x14ac:dyDescent="0.25">
      <c r="A26" s="10" t="s">
        <v>584</v>
      </c>
      <c r="B26" s="11">
        <v>58803000000</v>
      </c>
      <c r="C26" s="11">
        <v>396748530000</v>
      </c>
      <c r="D26" s="11">
        <v>131264071000</v>
      </c>
      <c r="E26" s="11">
        <v>-150000000</v>
      </c>
      <c r="F26" s="11"/>
      <c r="G26" s="11">
        <v>-32573244000</v>
      </c>
      <c r="H26" s="11">
        <v>361823000000</v>
      </c>
      <c r="I26" s="11">
        <v>733371000000</v>
      </c>
      <c r="J26" s="11">
        <v>43021000000</v>
      </c>
      <c r="K26" s="11">
        <v>4927000000</v>
      </c>
      <c r="L26" s="11">
        <v>22888085000</v>
      </c>
      <c r="M26" s="11"/>
      <c r="N26" s="11">
        <v>2556.65</v>
      </c>
      <c r="O26" s="11">
        <v>23000019.559999999</v>
      </c>
      <c r="P26" s="12">
        <f t="shared" si="0"/>
        <v>0.16251869007774519</v>
      </c>
      <c r="Q26" s="12">
        <f t="shared" si="1"/>
        <v>8.0181790662570515E-2</v>
      </c>
      <c r="R26" s="12">
        <f t="shared" si="2"/>
        <v>0.14821226936871071</v>
      </c>
      <c r="S26" s="12">
        <f t="shared" si="3"/>
        <v>-3.7807323444903498E-4</v>
      </c>
      <c r="T26" s="12">
        <f t="shared" si="4"/>
        <v>0.33084954593278521</v>
      </c>
      <c r="U26" s="13" t="str">
        <f t="shared" si="5"/>
        <v/>
      </c>
      <c r="V26" s="13" t="str">
        <f t="shared" si="6"/>
        <v/>
      </c>
      <c r="W26" s="12">
        <f t="shared" si="7"/>
        <v>-8.0458754483208342E-2</v>
      </c>
      <c r="X26" s="12">
        <f t="shared" si="8"/>
        <v>0</v>
      </c>
      <c r="Y26" s="13">
        <f t="shared" si="9"/>
        <v>2556.649999648957</v>
      </c>
      <c r="Z26" s="13">
        <f t="shared" si="10"/>
        <v>0.38923328741730862</v>
      </c>
      <c r="AA26" s="13">
        <f t="shared" si="11"/>
        <v>23000019.556841962</v>
      </c>
    </row>
    <row r="27" spans="1:27" x14ac:dyDescent="0.25">
      <c r="A27" s="10" t="s">
        <v>585</v>
      </c>
      <c r="B27" s="11">
        <v>-4679632198</v>
      </c>
      <c r="C27" s="11">
        <v>100908565177</v>
      </c>
      <c r="D27" s="11">
        <v>33242818008</v>
      </c>
      <c r="E27" s="11">
        <v>-5018958865</v>
      </c>
      <c r="F27" s="11">
        <v>629483384</v>
      </c>
      <c r="G27" s="11">
        <v>-2471929084</v>
      </c>
      <c r="H27" s="11">
        <v>165936320977</v>
      </c>
      <c r="I27" s="11">
        <v>222925443947</v>
      </c>
      <c r="J27" s="11">
        <v>21911786680</v>
      </c>
      <c r="K27" s="11">
        <v>14579358279</v>
      </c>
      <c r="L27" s="11">
        <v>93495228075</v>
      </c>
      <c r="M27" s="11"/>
      <c r="N27" s="11">
        <v>-0.17</v>
      </c>
      <c r="O27" s="11">
        <v>27527248223.529999</v>
      </c>
      <c r="P27" s="12">
        <f t="shared" si="0"/>
        <v>-2.8201373698339569E-2</v>
      </c>
      <c r="Q27" s="12">
        <f t="shared" si="1"/>
        <v>-2.099191601974592E-2</v>
      </c>
      <c r="R27" s="12">
        <f t="shared" si="2"/>
        <v>-4.6374975105350366E-2</v>
      </c>
      <c r="S27" s="12">
        <f t="shared" si="3"/>
        <v>-4.9737689324949069E-2</v>
      </c>
      <c r="T27" s="12">
        <f t="shared" si="4"/>
        <v>0.32943504795346162</v>
      </c>
      <c r="U27" s="13">
        <f t="shared" si="5"/>
        <v>34.809158171520536</v>
      </c>
      <c r="V27" s="13">
        <f t="shared" si="6"/>
        <v>160.17524693868648</v>
      </c>
      <c r="W27" s="12">
        <f t="shared" si="7"/>
        <v>-1.3159190767647244E-2</v>
      </c>
      <c r="X27" s="12">
        <f t="shared" si="8"/>
        <v>0</v>
      </c>
      <c r="Y27" s="13">
        <f t="shared" si="9"/>
        <v>-0.16999999999999638</v>
      </c>
      <c r="Z27" s="13">
        <f t="shared" si="10"/>
        <v>-19.979183003945987</v>
      </c>
      <c r="AA27" s="13">
        <f t="shared" si="11"/>
        <v>27527248223.529411</v>
      </c>
    </row>
    <row r="28" spans="1:27" x14ac:dyDescent="0.25">
      <c r="A28" s="10" t="s">
        <v>586</v>
      </c>
      <c r="B28" s="11">
        <v>-7286426454</v>
      </c>
      <c r="C28" s="11">
        <v>31360951752</v>
      </c>
      <c r="D28" s="11">
        <v>3706889625</v>
      </c>
      <c r="E28" s="11">
        <v>-7445800540</v>
      </c>
      <c r="F28" s="11">
        <v>-5009003109</v>
      </c>
      <c r="G28" s="11">
        <v>-27018899059</v>
      </c>
      <c r="H28" s="11">
        <v>32006000000</v>
      </c>
      <c r="I28" s="11">
        <v>79060000000</v>
      </c>
      <c r="J28" s="11">
        <v>29285000000</v>
      </c>
      <c r="K28" s="11">
        <v>14844000000</v>
      </c>
      <c r="L28" s="11">
        <v>30123174315</v>
      </c>
      <c r="M28" s="11"/>
      <c r="N28" s="11">
        <v>-46.59</v>
      </c>
      <c r="O28" s="11">
        <v>156394643.78999999</v>
      </c>
      <c r="P28" s="12">
        <f t="shared" si="0"/>
        <v>-0.22765814078610261</v>
      </c>
      <c r="Q28" s="12">
        <f t="shared" si="1"/>
        <v>-9.2163248848975463E-2</v>
      </c>
      <c r="R28" s="12">
        <f t="shared" si="2"/>
        <v>-0.23234073097081048</v>
      </c>
      <c r="S28" s="12">
        <f t="shared" si="3"/>
        <v>-0.23742265856217692</v>
      </c>
      <c r="T28" s="12">
        <f t="shared" si="4"/>
        <v>0.11820080124843782</v>
      </c>
      <c r="U28" s="13">
        <f t="shared" si="5"/>
        <v>-5.8464727137784651</v>
      </c>
      <c r="V28" s="13">
        <f t="shared" si="6"/>
        <v>-8.8968150638454713</v>
      </c>
      <c r="W28" s="12">
        <f t="shared" si="7"/>
        <v>-0.44082979652803839</v>
      </c>
      <c r="X28" s="12">
        <f t="shared" si="8"/>
        <v>0</v>
      </c>
      <c r="Y28" s="13">
        <f t="shared" si="9"/>
        <v>-46.589999998874006</v>
      </c>
      <c r="Z28" s="13">
        <f t="shared" si="10"/>
        <v>-4.1341492301021443</v>
      </c>
      <c r="AA28" s="13">
        <f t="shared" si="11"/>
        <v>156394643.78622019</v>
      </c>
    </row>
    <row r="29" spans="1:27" x14ac:dyDescent="0.25">
      <c r="A29" s="10" t="s">
        <v>587</v>
      </c>
      <c r="B29" s="11">
        <v>-1286998914</v>
      </c>
      <c r="C29" s="11">
        <v>79017322237</v>
      </c>
      <c r="D29" s="11">
        <v>23460024261</v>
      </c>
      <c r="E29" s="11">
        <v>-126472384</v>
      </c>
      <c r="F29" s="11">
        <v>-1287325805</v>
      </c>
      <c r="G29" s="11">
        <v>-5799906632</v>
      </c>
      <c r="H29" s="11">
        <v>9604977217</v>
      </c>
      <c r="I29" s="11">
        <v>10819775005</v>
      </c>
      <c r="J29" s="11">
        <v>1181958336</v>
      </c>
      <c r="K29" s="11">
        <v>428910</v>
      </c>
      <c r="L29" s="11">
        <v>18260000000</v>
      </c>
      <c r="M29" s="11"/>
      <c r="N29" s="11">
        <v>-29.25</v>
      </c>
      <c r="O29" s="11">
        <v>43999962.869999997</v>
      </c>
      <c r="P29" s="12">
        <f t="shared" si="0"/>
        <v>-0.13399291689334988</v>
      </c>
      <c r="Q29" s="12">
        <f t="shared" si="1"/>
        <v>-0.1189487686578747</v>
      </c>
      <c r="R29" s="12">
        <f t="shared" si="2"/>
        <v>-1.6287554140848377E-2</v>
      </c>
      <c r="S29" s="12">
        <f t="shared" si="3"/>
        <v>-1.6005652990956341E-3</v>
      </c>
      <c r="T29" s="12">
        <f t="shared" si="4"/>
        <v>0.29689723211114843</v>
      </c>
      <c r="U29" s="13">
        <f t="shared" si="5"/>
        <v>-0.91815011507518096</v>
      </c>
      <c r="V29" s="13">
        <f t="shared" si="6"/>
        <v>-15.102260321737278</v>
      </c>
      <c r="W29" s="12">
        <f t="shared" si="7"/>
        <v>-0.53767880632113019</v>
      </c>
      <c r="X29" s="12">
        <f t="shared" si="8"/>
        <v>0</v>
      </c>
      <c r="Y29" s="13">
        <f t="shared" si="9"/>
        <v>-29.250000001193186</v>
      </c>
      <c r="Z29" s="13">
        <f t="shared" si="10"/>
        <v>-14.188046160231647</v>
      </c>
      <c r="AA29" s="13">
        <f t="shared" si="11"/>
        <v>43999962.871794872</v>
      </c>
    </row>
    <row r="30" spans="1:27" x14ac:dyDescent="0.25">
      <c r="A30" s="10" t="s">
        <v>588</v>
      </c>
      <c r="B30" s="11">
        <v>183091580000</v>
      </c>
      <c r="C30" s="11">
        <v>811425610000</v>
      </c>
      <c r="D30" s="11">
        <v>282532861000</v>
      </c>
      <c r="E30" s="11">
        <v>228827727000</v>
      </c>
      <c r="F30" s="11">
        <v>256775792000</v>
      </c>
      <c r="G30" s="11">
        <v>-5531395000</v>
      </c>
      <c r="H30" s="11">
        <v>452825237000</v>
      </c>
      <c r="I30" s="11">
        <v>651586052000</v>
      </c>
      <c r="J30" s="11">
        <v>27000</v>
      </c>
      <c r="K30" s="11">
        <v>80265078000</v>
      </c>
      <c r="L30" s="11">
        <v>625036734720</v>
      </c>
      <c r="M30" s="11">
        <v>58215274079</v>
      </c>
      <c r="N30" s="11">
        <v>247.39</v>
      </c>
      <c r="O30" s="11">
        <v>740092889.76999998</v>
      </c>
      <c r="P30" s="12">
        <f t="shared" si="0"/>
        <v>0.40433166051652725</v>
      </c>
      <c r="Q30" s="12">
        <f t="shared" si="1"/>
        <v>0.28099370672225499</v>
      </c>
      <c r="R30" s="12">
        <f t="shared" si="2"/>
        <v>0.22564185520346097</v>
      </c>
      <c r="S30" s="12">
        <f t="shared" si="3"/>
        <v>0.28200703081087125</v>
      </c>
      <c r="T30" s="12">
        <f t="shared" si="4"/>
        <v>0.34819317694446444</v>
      </c>
      <c r="U30" s="13">
        <f t="shared" si="5"/>
        <v>1.0515009919626692E-7</v>
      </c>
      <c r="V30" s="13">
        <f t="shared" si="6"/>
        <v>2.1215850586101981</v>
      </c>
      <c r="W30" s="12">
        <f t="shared" si="7"/>
        <v>-1.221529680375784E-2</v>
      </c>
      <c r="X30" s="12">
        <f t="shared" si="8"/>
        <v>0.31795713423304339</v>
      </c>
      <c r="Y30" s="13">
        <f t="shared" si="9"/>
        <v>247.38999999972935</v>
      </c>
      <c r="Z30" s="13">
        <f t="shared" si="10"/>
        <v>3.4137928938075688</v>
      </c>
      <c r="AA30" s="13">
        <f t="shared" si="11"/>
        <v>740092889.76919043</v>
      </c>
    </row>
    <row r="31" spans="1:27" x14ac:dyDescent="0.25">
      <c r="A31" s="10" t="s">
        <v>589</v>
      </c>
      <c r="B31" s="11">
        <v>-20100</v>
      </c>
      <c r="C31" s="11">
        <v>58070</v>
      </c>
      <c r="D31" s="11">
        <v>1930</v>
      </c>
      <c r="E31" s="11">
        <v>-17000</v>
      </c>
      <c r="F31" s="11">
        <v>-16710</v>
      </c>
      <c r="G31" s="11">
        <v>-8250</v>
      </c>
      <c r="H31" s="11">
        <v>-7600</v>
      </c>
      <c r="I31" s="11">
        <v>152070</v>
      </c>
      <c r="J31" s="11">
        <v>35350</v>
      </c>
      <c r="K31" s="11">
        <v>1980</v>
      </c>
      <c r="L31" s="11">
        <v>11715053652.969999</v>
      </c>
      <c r="M31" s="11"/>
      <c r="N31" s="11">
        <v>-20.78</v>
      </c>
      <c r="O31" s="11">
        <v>967.28</v>
      </c>
      <c r="P31" s="12">
        <f t="shared" si="0"/>
        <v>2.6447368421052633</v>
      </c>
      <c r="Q31" s="12">
        <f t="shared" si="1"/>
        <v>-0.13217597159202998</v>
      </c>
      <c r="R31" s="12">
        <f t="shared" si="2"/>
        <v>-0.34613397623557773</v>
      </c>
      <c r="S31" s="12">
        <f t="shared" si="3"/>
        <v>-0.29275012915446874</v>
      </c>
      <c r="T31" s="12">
        <f t="shared" si="4"/>
        <v>3.3235749956948508E-2</v>
      </c>
      <c r="U31" s="13">
        <f t="shared" si="5"/>
        <v>-2.1154997007779772</v>
      </c>
      <c r="V31" s="13">
        <f t="shared" si="6"/>
        <v>-701082.40711968881</v>
      </c>
      <c r="W31" s="12">
        <f t="shared" si="7"/>
        <v>-0.29729729729729731</v>
      </c>
      <c r="X31" s="12">
        <f t="shared" si="8"/>
        <v>0</v>
      </c>
      <c r="Y31" s="13">
        <f t="shared" si="9"/>
        <v>-20.779918947977837</v>
      </c>
      <c r="Z31" s="13">
        <f t="shared" si="10"/>
        <v>-582838.49019751244</v>
      </c>
      <c r="AA31" s="13">
        <f t="shared" si="11"/>
        <v>967.2762271414822</v>
      </c>
    </row>
    <row r="32" spans="1:27" x14ac:dyDescent="0.25">
      <c r="A32" s="10" t="s">
        <v>590</v>
      </c>
      <c r="B32" s="11">
        <v>44957502223</v>
      </c>
      <c r="C32" s="11">
        <v>11656237944</v>
      </c>
      <c r="D32" s="11">
        <v>11656237944</v>
      </c>
      <c r="E32" s="11">
        <v>-5284736021</v>
      </c>
      <c r="F32" s="11"/>
      <c r="G32" s="11">
        <v>1488834412</v>
      </c>
      <c r="H32" s="11">
        <v>364029935016</v>
      </c>
      <c r="I32" s="11">
        <v>379539620767</v>
      </c>
      <c r="J32" s="11">
        <v>19970729034</v>
      </c>
      <c r="K32" s="11">
        <v>3664040212</v>
      </c>
      <c r="L32" s="11">
        <v>447391456760</v>
      </c>
      <c r="M32" s="11"/>
      <c r="N32" s="11"/>
      <c r="O32" s="11"/>
      <c r="P32" s="12">
        <f t="shared" si="0"/>
        <v>0.1234994650124694</v>
      </c>
      <c r="Q32" s="12">
        <f t="shared" si="1"/>
        <v>0.11845272473041618</v>
      </c>
      <c r="R32" s="12">
        <f t="shared" si="2"/>
        <v>3.8569478796665857</v>
      </c>
      <c r="S32" s="12">
        <f t="shared" si="3"/>
        <v>-0.45338264767667136</v>
      </c>
      <c r="T32" s="12">
        <f t="shared" si="4"/>
        <v>1</v>
      </c>
      <c r="U32" s="13" t="str">
        <f t="shared" si="5"/>
        <v/>
      </c>
      <c r="V32" s="13" t="str">
        <f t="shared" si="6"/>
        <v/>
      </c>
      <c r="W32" s="12">
        <f t="shared" si="7"/>
        <v>3.8771662431451985E-3</v>
      </c>
      <c r="X32" s="12">
        <f t="shared" si="8"/>
        <v>0</v>
      </c>
      <c r="Y32" s="13" t="str">
        <f t="shared" si="9"/>
        <v/>
      </c>
      <c r="Z32" s="13">
        <f t="shared" si="10"/>
        <v>9.9514304540503833</v>
      </c>
      <c r="AA32" s="13" t="str">
        <f t="shared" si="11"/>
        <v/>
      </c>
    </row>
    <row r="33" spans="1:27" x14ac:dyDescent="0.25">
      <c r="A33" s="10" t="s">
        <v>591</v>
      </c>
      <c r="B33" s="11">
        <v>14935584923</v>
      </c>
      <c r="C33" s="11">
        <v>276515025149</v>
      </c>
      <c r="D33" s="11">
        <v>141970577401</v>
      </c>
      <c r="E33" s="11">
        <v>42423483999</v>
      </c>
      <c r="F33" s="11">
        <v>45394519777</v>
      </c>
      <c r="G33" s="11">
        <v>-6345205393</v>
      </c>
      <c r="H33" s="11">
        <v>111445173049</v>
      </c>
      <c r="I33" s="11">
        <v>187109890152</v>
      </c>
      <c r="J33" s="11">
        <v>22400616388</v>
      </c>
      <c r="K33" s="11">
        <v>35143327764</v>
      </c>
      <c r="L33" s="11">
        <v>100578056780</v>
      </c>
      <c r="M33" s="11"/>
      <c r="N33" s="11">
        <v>366</v>
      </c>
      <c r="O33" s="11">
        <v>40807609.079999998</v>
      </c>
      <c r="P33" s="12">
        <f t="shared" si="0"/>
        <v>0.13401733349575537</v>
      </c>
      <c r="Q33" s="12">
        <f t="shared" si="1"/>
        <v>7.9822530550720625E-2</v>
      </c>
      <c r="R33" s="12">
        <f t="shared" si="2"/>
        <v>5.4013646871275682E-2</v>
      </c>
      <c r="S33" s="12">
        <f t="shared" si="3"/>
        <v>0.15342198484925051</v>
      </c>
      <c r="T33" s="12">
        <f t="shared" si="4"/>
        <v>0.51342807619404851</v>
      </c>
      <c r="U33" s="13">
        <f t="shared" si="5"/>
        <v>0.49346521337912025</v>
      </c>
      <c r="V33" s="13">
        <f t="shared" si="6"/>
        <v>1.9349328032434314</v>
      </c>
      <c r="W33" s="12">
        <f t="shared" si="7"/>
        <v>-4.7406836028910951E-2</v>
      </c>
      <c r="X33" s="12">
        <f t="shared" si="8"/>
        <v>0</v>
      </c>
      <c r="Y33" s="13">
        <f t="shared" si="9"/>
        <v>365.99999999313854</v>
      </c>
      <c r="Z33" s="13">
        <f t="shared" si="10"/>
        <v>6.7341223861353559</v>
      </c>
      <c r="AA33" s="13">
        <f t="shared" si="11"/>
        <v>40807609.079234973</v>
      </c>
    </row>
    <row r="34" spans="1:27" x14ac:dyDescent="0.25">
      <c r="A34" s="10" t="s">
        <v>592</v>
      </c>
      <c r="B34" s="11">
        <v>-40647000000</v>
      </c>
      <c r="C34" s="11">
        <v>499267000000</v>
      </c>
      <c r="D34" s="11">
        <v>165102000000</v>
      </c>
      <c r="E34" s="11">
        <v>-37049000000</v>
      </c>
      <c r="F34" s="11">
        <v>14605000000</v>
      </c>
      <c r="G34" s="11">
        <v>-56114000000</v>
      </c>
      <c r="H34" s="11">
        <v>587206000000</v>
      </c>
      <c r="I34" s="11">
        <v>986727000000</v>
      </c>
      <c r="J34" s="11">
        <v>49876000000</v>
      </c>
      <c r="K34" s="11">
        <v>4953000000</v>
      </c>
      <c r="L34" s="11">
        <v>569130000000</v>
      </c>
      <c r="M34" s="11"/>
      <c r="N34" s="11">
        <v>-109.83</v>
      </c>
      <c r="O34" s="11">
        <v>370090139.31</v>
      </c>
      <c r="P34" s="12">
        <f t="shared" si="0"/>
        <v>-6.9221022945950825E-2</v>
      </c>
      <c r="Q34" s="12">
        <f t="shared" si="1"/>
        <v>-4.119376484073102E-2</v>
      </c>
      <c r="R34" s="12">
        <f t="shared" si="2"/>
        <v>-8.141335197399388E-2</v>
      </c>
      <c r="S34" s="12">
        <f t="shared" si="3"/>
        <v>-7.4206787149961845E-2</v>
      </c>
      <c r="T34" s="12">
        <f t="shared" si="4"/>
        <v>0.33068878976579663</v>
      </c>
      <c r="U34" s="13">
        <f t="shared" si="5"/>
        <v>3.4149948647723383</v>
      </c>
      <c r="V34" s="13">
        <f t="shared" si="6"/>
        <v>42.044026018486818</v>
      </c>
      <c r="W34" s="12">
        <f t="shared" si="7"/>
        <v>-8.8079713443481367E-2</v>
      </c>
      <c r="X34" s="12">
        <f t="shared" si="8"/>
        <v>0</v>
      </c>
      <c r="Y34" s="13">
        <f t="shared" si="9"/>
        <v>-109.82999999887244</v>
      </c>
      <c r="Z34" s="13">
        <f t="shared" si="10"/>
        <v>-14.001771348439</v>
      </c>
      <c r="AA34" s="13">
        <f t="shared" si="11"/>
        <v>370090139.3062005</v>
      </c>
    </row>
    <row r="35" spans="1:27" x14ac:dyDescent="0.25">
      <c r="A35" s="10" t="s">
        <v>593</v>
      </c>
      <c r="B35" s="11">
        <v>11344641106</v>
      </c>
      <c r="C35" s="11">
        <v>134706505681</v>
      </c>
      <c r="D35" s="11">
        <v>11144656338</v>
      </c>
      <c r="E35" s="11">
        <v>11450453964</v>
      </c>
      <c r="F35" s="11">
        <v>11454369870</v>
      </c>
      <c r="G35" s="11">
        <v>-7484056584.9200001</v>
      </c>
      <c r="H35" s="11">
        <v>60695332417</v>
      </c>
      <c r="I35" s="11">
        <v>60707103797</v>
      </c>
      <c r="J35" s="11">
        <v>2911396884</v>
      </c>
      <c r="K35" s="11">
        <v>20497490</v>
      </c>
      <c r="L35" s="11">
        <v>209001208.90000001</v>
      </c>
      <c r="M35" s="11"/>
      <c r="N35" s="11">
        <v>241.5</v>
      </c>
      <c r="O35" s="11">
        <v>46975739.57</v>
      </c>
      <c r="P35" s="12">
        <f t="shared" ref="P35:P58" si="12">IFERROR(B35/H35,"")</f>
        <v>0.18691126078786427</v>
      </c>
      <c r="Q35" s="12">
        <f t="shared" ref="Q35:Q58" si="13">IFERROR(B35/I35,"")</f>
        <v>0.18687501785516944</v>
      </c>
      <c r="R35" s="12">
        <f t="shared" ref="R35:R58" si="14">IFERROR(B35/C35,"")</f>
        <v>8.4217470037158959E-2</v>
      </c>
      <c r="S35" s="12">
        <f t="shared" ref="S35:S58" si="15">IFERROR(E35/C35,"")</f>
        <v>8.5002976701926705E-2</v>
      </c>
      <c r="T35" s="12">
        <f t="shared" ref="T35:T58" si="16">IFERROR(D35/C35,"")</f>
        <v>8.2732873825647188E-2</v>
      </c>
      <c r="U35" s="13">
        <f t="shared" ref="U35:U58" si="17">IFERROR(J35/F35,"")</f>
        <v>0.25417346541473257</v>
      </c>
      <c r="V35" s="13">
        <f t="shared" ref="V35:V58" si="18">IFERROR((L35+J35-K35)/F35,"")</f>
        <v>0.27063039155204094</v>
      </c>
      <c r="W35" s="12">
        <f t="shared" ref="W35:W58" si="19">IFERROR(G35/(J35+H35),"")</f>
        <v>-0.11766139632025284</v>
      </c>
      <c r="X35" s="12">
        <f t="shared" ref="X35:X58" si="20">IFERROR(M35/B35,"")</f>
        <v>0</v>
      </c>
      <c r="Y35" s="13">
        <f t="shared" ref="Y35:Y58" si="21">IFERROR(B35/O35,"")</f>
        <v>241.49999999670041</v>
      </c>
      <c r="Z35" s="13">
        <f t="shared" ref="Z35:Z58" si="22">IFERROR(L35/B35,"")</f>
        <v>1.842290178659443E-2</v>
      </c>
      <c r="AA35" s="13">
        <f t="shared" ref="AA35:AA58" si="23">IFERROR(B35/N35,"")</f>
        <v>46975739.569358177</v>
      </c>
    </row>
    <row r="36" spans="1:27" x14ac:dyDescent="0.25">
      <c r="A36" s="10" t="s">
        <v>594</v>
      </c>
      <c r="B36" s="11">
        <v>-2021672118</v>
      </c>
      <c r="C36" s="11">
        <v>78263428066</v>
      </c>
      <c r="D36" s="11">
        <v>33116068515</v>
      </c>
      <c r="E36" s="11">
        <v>4509464740</v>
      </c>
      <c r="F36" s="11">
        <v>3544652809.4000001</v>
      </c>
      <c r="G36" s="11">
        <v>-13035028785</v>
      </c>
      <c r="H36" s="11">
        <v>51546988178</v>
      </c>
      <c r="I36" s="11">
        <v>84001484682</v>
      </c>
      <c r="J36" s="11">
        <v>13417844520</v>
      </c>
      <c r="K36" s="11">
        <v>3489632158</v>
      </c>
      <c r="L36" s="11">
        <v>2520898626.6700001</v>
      </c>
      <c r="M36" s="11"/>
      <c r="N36" s="11">
        <v>-16.7</v>
      </c>
      <c r="O36" s="11">
        <v>121058210.66</v>
      </c>
      <c r="P36" s="12">
        <f t="shared" si="12"/>
        <v>-3.9219985288351716E-2</v>
      </c>
      <c r="Q36" s="12">
        <f t="shared" si="13"/>
        <v>-2.4067099833453395E-2</v>
      </c>
      <c r="R36" s="12">
        <f t="shared" si="14"/>
        <v>-2.5831632576777907E-2</v>
      </c>
      <c r="S36" s="12">
        <f t="shared" si="15"/>
        <v>5.7619054664934208E-2</v>
      </c>
      <c r="T36" s="12">
        <f t="shared" si="16"/>
        <v>0.42313593121774618</v>
      </c>
      <c r="U36" s="13">
        <f t="shared" si="17"/>
        <v>3.7853762389415015</v>
      </c>
      <c r="V36" s="13">
        <f t="shared" si="18"/>
        <v>3.5120819042295004</v>
      </c>
      <c r="W36" s="12">
        <f t="shared" si="19"/>
        <v>-0.20064746176743861</v>
      </c>
      <c r="X36" s="12">
        <f t="shared" si="20"/>
        <v>0</v>
      </c>
      <c r="Y36" s="13">
        <f t="shared" si="21"/>
        <v>-16.699999999818271</v>
      </c>
      <c r="Z36" s="13">
        <f t="shared" si="22"/>
        <v>-1.2469374258195116</v>
      </c>
      <c r="AA36" s="13">
        <f t="shared" si="23"/>
        <v>121058210.65868264</v>
      </c>
    </row>
    <row r="37" spans="1:27" x14ac:dyDescent="0.25">
      <c r="A37" s="10" t="s">
        <v>595</v>
      </c>
      <c r="B37" s="11">
        <v>5314385.53</v>
      </c>
      <c r="C37" s="11">
        <v>170015756.69999999</v>
      </c>
      <c r="D37" s="11">
        <v>36143754.409999996</v>
      </c>
      <c r="E37" s="11">
        <v>31935682.530000001</v>
      </c>
      <c r="F37" s="11">
        <v>-22579307.940000001</v>
      </c>
      <c r="G37" s="11"/>
      <c r="H37" s="11">
        <v>332129197</v>
      </c>
      <c r="I37" s="11">
        <v>707435845</v>
      </c>
      <c r="J37" s="11">
        <v>129636073</v>
      </c>
      <c r="K37" s="11">
        <v>73630780</v>
      </c>
      <c r="L37" s="11">
        <v>306477789267</v>
      </c>
      <c r="M37" s="11"/>
      <c r="N37" s="11">
        <v>-20.66</v>
      </c>
      <c r="O37" s="11">
        <v>-257230.66</v>
      </c>
      <c r="P37" s="12">
        <f t="shared" si="12"/>
        <v>1.6000958596843869E-2</v>
      </c>
      <c r="Q37" s="12">
        <f t="shared" si="13"/>
        <v>7.512180175150724E-3</v>
      </c>
      <c r="R37" s="12">
        <f t="shared" si="14"/>
        <v>3.1258194141249265E-2</v>
      </c>
      <c r="S37" s="12">
        <f t="shared" si="15"/>
        <v>0.18783954587427956</v>
      </c>
      <c r="T37" s="12">
        <f t="shared" si="16"/>
        <v>0.21259061578496624</v>
      </c>
      <c r="U37" s="13">
        <f t="shared" si="17"/>
        <v>-5.7413660925517274</v>
      </c>
      <c r="V37" s="13">
        <f t="shared" si="18"/>
        <v>-13575.872005224974</v>
      </c>
      <c r="W37" s="12">
        <f t="shared" si="19"/>
        <v>0</v>
      </c>
      <c r="X37" s="12">
        <f t="shared" si="20"/>
        <v>0</v>
      </c>
      <c r="Y37" s="13">
        <f t="shared" si="21"/>
        <v>-20.660000366985802</v>
      </c>
      <c r="Z37" s="13">
        <f t="shared" si="22"/>
        <v>57669.468565446732</v>
      </c>
      <c r="AA37" s="13">
        <f t="shared" si="23"/>
        <v>-257230.66456921588</v>
      </c>
    </row>
    <row r="38" spans="1:27" x14ac:dyDescent="0.25">
      <c r="A38" s="10" t="s">
        <v>596</v>
      </c>
      <c r="B38" s="11">
        <v>-36228139000</v>
      </c>
      <c r="C38" s="11">
        <v>870462335000</v>
      </c>
      <c r="D38" s="11">
        <v>201326645000</v>
      </c>
      <c r="E38" s="11">
        <v>-15694649000</v>
      </c>
      <c r="F38" s="11">
        <v>26799962000</v>
      </c>
      <c r="G38" s="11">
        <v>-59970828000</v>
      </c>
      <c r="H38" s="11">
        <v>436099529000</v>
      </c>
      <c r="I38" s="11">
        <v>899632852000</v>
      </c>
      <c r="J38" s="11">
        <v>252940512000</v>
      </c>
      <c r="K38" s="11">
        <v>14365508000</v>
      </c>
      <c r="L38" s="11">
        <v>326468565800</v>
      </c>
      <c r="M38" s="11"/>
      <c r="N38" s="11">
        <v>-82.5</v>
      </c>
      <c r="O38" s="11">
        <v>439128957.57999998</v>
      </c>
      <c r="P38" s="12">
        <f t="shared" si="12"/>
        <v>-8.307309820552454E-2</v>
      </c>
      <c r="Q38" s="12">
        <f t="shared" si="13"/>
        <v>-4.0269915576626805E-2</v>
      </c>
      <c r="R38" s="12">
        <f t="shared" si="14"/>
        <v>-4.161942170651186E-2</v>
      </c>
      <c r="S38" s="12">
        <f t="shared" si="15"/>
        <v>-1.8030244812373187E-2</v>
      </c>
      <c r="T38" s="12">
        <f t="shared" si="16"/>
        <v>0.23128702633641235</v>
      </c>
      <c r="U38" s="13">
        <f t="shared" si="17"/>
        <v>9.4380921883396702</v>
      </c>
      <c r="V38" s="13">
        <f t="shared" si="18"/>
        <v>21.083745185907354</v>
      </c>
      <c r="W38" s="12">
        <f t="shared" si="19"/>
        <v>-8.7035330940948896E-2</v>
      </c>
      <c r="X38" s="12">
        <f t="shared" si="20"/>
        <v>0</v>
      </c>
      <c r="Y38" s="13">
        <f t="shared" si="21"/>
        <v>-82.49999999920297</v>
      </c>
      <c r="Z38" s="13">
        <f t="shared" si="22"/>
        <v>-9.0114638734272265</v>
      </c>
      <c r="AA38" s="13">
        <f t="shared" si="23"/>
        <v>439128957.57575756</v>
      </c>
    </row>
    <row r="39" spans="1:27" x14ac:dyDescent="0.25">
      <c r="A39" s="10" t="s">
        <v>597</v>
      </c>
      <c r="B39" s="11">
        <v>-4289568870</v>
      </c>
      <c r="C39" s="11">
        <v>63594597626</v>
      </c>
      <c r="D39" s="11">
        <v>7930866115</v>
      </c>
      <c r="E39" s="11">
        <v>-2795474867</v>
      </c>
      <c r="F39" s="11">
        <v>-1755289439</v>
      </c>
      <c r="G39" s="11">
        <v>-4419748817</v>
      </c>
      <c r="H39" s="11">
        <v>27288064325</v>
      </c>
      <c r="I39" s="11">
        <v>43341323523</v>
      </c>
      <c r="J39" s="11">
        <v>1487294846</v>
      </c>
      <c r="K39" s="11">
        <v>4497012362</v>
      </c>
      <c r="L39" s="11">
        <v>9098650808.6900005</v>
      </c>
      <c r="M39" s="11"/>
      <c r="N39" s="11">
        <v>-7.76</v>
      </c>
      <c r="O39" s="11">
        <v>552779493.55999994</v>
      </c>
      <c r="P39" s="12">
        <f t="shared" si="12"/>
        <v>-0.15719579149738758</v>
      </c>
      <c r="Q39" s="12">
        <f t="shared" si="13"/>
        <v>-9.897180153540186E-2</v>
      </c>
      <c r="R39" s="12">
        <f t="shared" si="14"/>
        <v>-6.7451780970876896E-2</v>
      </c>
      <c r="S39" s="12">
        <f t="shared" si="15"/>
        <v>-4.3957741244628909E-2</v>
      </c>
      <c r="T39" s="12">
        <f t="shared" si="16"/>
        <v>0.12470974596995557</v>
      </c>
      <c r="U39" s="13">
        <f t="shared" si="17"/>
        <v>-0.84732170829177988</v>
      </c>
      <c r="V39" s="13">
        <f t="shared" si="18"/>
        <v>-3.4689055590506523</v>
      </c>
      <c r="W39" s="12">
        <f t="shared" si="19"/>
        <v>-0.15359491399343689</v>
      </c>
      <c r="X39" s="12">
        <f t="shared" si="20"/>
        <v>0</v>
      </c>
      <c r="Y39" s="13">
        <f t="shared" si="21"/>
        <v>-7.7599999999536893</v>
      </c>
      <c r="Z39" s="13">
        <f t="shared" si="22"/>
        <v>-2.1211107886210487</v>
      </c>
      <c r="AA39" s="13">
        <f t="shared" si="23"/>
        <v>552779493.55670106</v>
      </c>
    </row>
    <row r="40" spans="1:27" x14ac:dyDescent="0.25">
      <c r="A40" s="10" t="s">
        <v>598</v>
      </c>
      <c r="B40" s="11">
        <v>132483000000</v>
      </c>
      <c r="C40" s="11">
        <v>1217305000000</v>
      </c>
      <c r="D40" s="11">
        <v>465192000000</v>
      </c>
      <c r="E40" s="11">
        <v>196311000000</v>
      </c>
      <c r="F40" s="11">
        <v>256694000000</v>
      </c>
      <c r="G40" s="11">
        <v>30309000000</v>
      </c>
      <c r="H40" s="11">
        <v>960345000000</v>
      </c>
      <c r="I40" s="11">
        <v>1390076000000</v>
      </c>
      <c r="J40" s="11">
        <v>144559000000</v>
      </c>
      <c r="K40" s="11">
        <v>116132000000</v>
      </c>
      <c r="L40" s="11">
        <v>1094187000000</v>
      </c>
      <c r="M40" s="11"/>
      <c r="N40" s="11">
        <v>229.62</v>
      </c>
      <c r="O40" s="11">
        <v>576966292.13</v>
      </c>
      <c r="P40" s="12">
        <f t="shared" si="12"/>
        <v>0.13795354794370773</v>
      </c>
      <c r="Q40" s="12">
        <f t="shared" si="13"/>
        <v>9.5306299799435432E-2</v>
      </c>
      <c r="R40" s="12">
        <f t="shared" si="14"/>
        <v>0.10883303691350976</v>
      </c>
      <c r="S40" s="12">
        <f t="shared" si="15"/>
        <v>0.1612668969568021</v>
      </c>
      <c r="T40" s="12">
        <f t="shared" si="16"/>
        <v>0.382149091640961</v>
      </c>
      <c r="U40" s="13">
        <f t="shared" si="17"/>
        <v>0.56315691056277128</v>
      </c>
      <c r="V40" s="13">
        <f t="shared" si="18"/>
        <v>4.3733550453068633</v>
      </c>
      <c r="W40" s="12">
        <f t="shared" si="19"/>
        <v>2.7431342451470896E-2</v>
      </c>
      <c r="X40" s="12">
        <f t="shared" si="20"/>
        <v>0</v>
      </c>
      <c r="Y40" s="13">
        <f t="shared" si="21"/>
        <v>229.62000000192282</v>
      </c>
      <c r="Z40" s="13">
        <f t="shared" si="22"/>
        <v>8.2590747492131058</v>
      </c>
      <c r="AA40" s="13">
        <f t="shared" si="23"/>
        <v>576966292.13483143</v>
      </c>
    </row>
    <row r="41" spans="1:27" x14ac:dyDescent="0.25">
      <c r="A41" s="10" t="s">
        <v>599</v>
      </c>
      <c r="B41" s="11">
        <v>12579000000</v>
      </c>
      <c r="C41" s="11">
        <v>291719000000</v>
      </c>
      <c r="D41" s="11">
        <v>95287000000</v>
      </c>
      <c r="E41" s="11">
        <v>-19110000000</v>
      </c>
      <c r="F41" s="11">
        <v>50963000000</v>
      </c>
      <c r="G41" s="11">
        <v>-217101000000</v>
      </c>
      <c r="H41" s="11">
        <v>403114000000</v>
      </c>
      <c r="I41" s="11">
        <v>992516000000</v>
      </c>
      <c r="J41" s="11">
        <v>109165000000</v>
      </c>
      <c r="K41" s="11">
        <v>2180000000</v>
      </c>
      <c r="L41" s="11">
        <v>3078943946800</v>
      </c>
      <c r="M41" s="11">
        <v>5000000000</v>
      </c>
      <c r="N41" s="11">
        <v>128.77000000000001</v>
      </c>
      <c r="O41" s="11">
        <v>97685796.379999995</v>
      </c>
      <c r="P41" s="12">
        <f t="shared" si="12"/>
        <v>3.1204572403836135E-2</v>
      </c>
      <c r="Q41" s="12">
        <f t="shared" si="13"/>
        <v>1.2673851101644708E-2</v>
      </c>
      <c r="R41" s="12">
        <f t="shared" si="14"/>
        <v>4.3120262992811575E-2</v>
      </c>
      <c r="S41" s="12">
        <f t="shared" si="15"/>
        <v>-6.5508245949012583E-2</v>
      </c>
      <c r="T41" s="12">
        <f t="shared" si="16"/>
        <v>0.32663967722362958</v>
      </c>
      <c r="U41" s="13">
        <f t="shared" si="17"/>
        <v>2.1420442281655316</v>
      </c>
      <c r="V41" s="13">
        <f t="shared" si="18"/>
        <v>62.514548727508192</v>
      </c>
      <c r="W41" s="12">
        <f t="shared" si="19"/>
        <v>-0.42379445575555508</v>
      </c>
      <c r="X41" s="12">
        <f t="shared" si="20"/>
        <v>0.39748787661976309</v>
      </c>
      <c r="Y41" s="13">
        <f t="shared" si="21"/>
        <v>128.77000000150892</v>
      </c>
      <c r="Z41" s="13">
        <f t="shared" si="22"/>
        <v>244.76857832896096</v>
      </c>
      <c r="AA41" s="13">
        <f t="shared" si="23"/>
        <v>97685796.381144673</v>
      </c>
    </row>
    <row r="42" spans="1:27" x14ac:dyDescent="0.25">
      <c r="A42" s="10" t="s">
        <v>600</v>
      </c>
      <c r="B42" s="11">
        <v>198059000000</v>
      </c>
      <c r="C42" s="11">
        <v>3538696000000</v>
      </c>
      <c r="D42" s="11">
        <v>257387000000</v>
      </c>
      <c r="E42" s="11">
        <v>188137000000</v>
      </c>
      <c r="F42" s="11">
        <v>290204000000</v>
      </c>
      <c r="G42" s="11">
        <v>28612000000</v>
      </c>
      <c r="H42" s="11">
        <v>138501000000</v>
      </c>
      <c r="I42" s="11">
        <v>1231884000000</v>
      </c>
      <c r="J42" s="11">
        <v>617463359000</v>
      </c>
      <c r="K42" s="11">
        <v>193804000000</v>
      </c>
      <c r="L42" s="11">
        <v>1115388995400</v>
      </c>
      <c r="M42" s="11">
        <v>93000000000</v>
      </c>
      <c r="N42" s="11">
        <v>4035.27</v>
      </c>
      <c r="O42" s="11">
        <v>49081969.729999997</v>
      </c>
      <c r="P42" s="12">
        <f t="shared" si="12"/>
        <v>1.4300185558227017</v>
      </c>
      <c r="Q42" s="12">
        <f t="shared" si="13"/>
        <v>0.16077731344834417</v>
      </c>
      <c r="R42" s="12">
        <f t="shared" si="14"/>
        <v>5.5969487065291847E-2</v>
      </c>
      <c r="S42" s="12">
        <f t="shared" si="15"/>
        <v>5.3165629373079802E-2</v>
      </c>
      <c r="T42" s="12">
        <f t="shared" si="16"/>
        <v>7.2734984864481156E-2</v>
      </c>
      <c r="U42" s="13">
        <f t="shared" si="17"/>
        <v>2.1276872786040166</v>
      </c>
      <c r="V42" s="13">
        <f t="shared" si="18"/>
        <v>5.3033326708108781</v>
      </c>
      <c r="W42" s="12">
        <f t="shared" si="19"/>
        <v>3.7848345175754507E-2</v>
      </c>
      <c r="X42" s="12">
        <f t="shared" si="20"/>
        <v>0.46955705118171859</v>
      </c>
      <c r="Y42" s="13">
        <f t="shared" si="21"/>
        <v>4035.2700001553098</v>
      </c>
      <c r="Z42" s="13">
        <f t="shared" si="22"/>
        <v>5.6315996516189619</v>
      </c>
      <c r="AA42" s="13">
        <f t="shared" si="23"/>
        <v>49081969.731889069</v>
      </c>
    </row>
    <row r="43" spans="1:27" x14ac:dyDescent="0.25">
      <c r="A43" s="10" t="s">
        <v>601</v>
      </c>
      <c r="B43" s="11">
        <v>-40713000000</v>
      </c>
      <c r="C43" s="11">
        <v>949877000000</v>
      </c>
      <c r="D43" s="11">
        <v>231911000000</v>
      </c>
      <c r="E43" s="11">
        <v>-19800000000</v>
      </c>
      <c r="F43" s="11">
        <v>-10507000000</v>
      </c>
      <c r="G43" s="11">
        <v>-8922000000</v>
      </c>
      <c r="H43" s="11">
        <v>250433000000</v>
      </c>
      <c r="I43" s="11">
        <v>732848000000</v>
      </c>
      <c r="J43" s="11">
        <v>266775000000</v>
      </c>
      <c r="K43" s="11">
        <v>35152000000</v>
      </c>
      <c r="L43" s="11">
        <v>513608573850</v>
      </c>
      <c r="M43" s="11"/>
      <c r="N43" s="11">
        <v>-202.13</v>
      </c>
      <c r="O43" s="11">
        <v>201419878.30000001</v>
      </c>
      <c r="P43" s="12">
        <f t="shared" si="12"/>
        <v>-0.16257042801867166</v>
      </c>
      <c r="Q43" s="12">
        <f t="shared" si="13"/>
        <v>-5.5554494247101717E-2</v>
      </c>
      <c r="R43" s="12">
        <f t="shared" si="14"/>
        <v>-4.2861338889140385E-2</v>
      </c>
      <c r="S43" s="12">
        <f t="shared" si="15"/>
        <v>-2.0844804116743536E-2</v>
      </c>
      <c r="T43" s="12">
        <f t="shared" si="16"/>
        <v>0.24414845290495507</v>
      </c>
      <c r="U43" s="13">
        <f t="shared" si="17"/>
        <v>-25.390216046445229</v>
      </c>
      <c r="V43" s="13">
        <f t="shared" si="18"/>
        <v>-70.927150837536885</v>
      </c>
      <c r="W43" s="12">
        <f t="shared" si="19"/>
        <v>-1.7250313220213146E-2</v>
      </c>
      <c r="X43" s="12">
        <f t="shared" si="20"/>
        <v>0</v>
      </c>
      <c r="Y43" s="13">
        <f t="shared" si="21"/>
        <v>-202.12999999613245</v>
      </c>
      <c r="Z43" s="13">
        <f t="shared" si="22"/>
        <v>-12.615345807236018</v>
      </c>
      <c r="AA43" s="13">
        <f t="shared" si="23"/>
        <v>201419878.29614604</v>
      </c>
    </row>
    <row r="44" spans="1:27" x14ac:dyDescent="0.25">
      <c r="A44" s="10" t="s">
        <v>602</v>
      </c>
      <c r="B44" s="11">
        <v>3757311000</v>
      </c>
      <c r="C44" s="11">
        <v>67830361000</v>
      </c>
      <c r="D44" s="11">
        <v>9586836000</v>
      </c>
      <c r="E44" s="11">
        <v>6180908000</v>
      </c>
      <c r="F44" s="11">
        <v>7954904000</v>
      </c>
      <c r="G44" s="11">
        <v>11002042000</v>
      </c>
      <c r="H44" s="11">
        <v>53272599000</v>
      </c>
      <c r="I44" s="11">
        <v>115632817000</v>
      </c>
      <c r="J44" s="11">
        <v>27342823000</v>
      </c>
      <c r="K44" s="11">
        <v>2139604000</v>
      </c>
      <c r="L44" s="11">
        <v>59683301166</v>
      </c>
      <c r="M44" s="11">
        <v>1718097982</v>
      </c>
      <c r="N44" s="11">
        <v>10.199999999999999</v>
      </c>
      <c r="O44" s="11">
        <v>368363823.52999997</v>
      </c>
      <c r="P44" s="12">
        <f t="shared" si="12"/>
        <v>7.052989849434603E-2</v>
      </c>
      <c r="Q44" s="12">
        <f t="shared" si="13"/>
        <v>3.249346593363716E-2</v>
      </c>
      <c r="R44" s="12">
        <f t="shared" si="14"/>
        <v>5.5392761362422945E-2</v>
      </c>
      <c r="S44" s="12">
        <f t="shared" si="15"/>
        <v>9.1123029700520095E-2</v>
      </c>
      <c r="T44" s="12">
        <f t="shared" si="16"/>
        <v>0.14133547070463034</v>
      </c>
      <c r="U44" s="13">
        <f t="shared" si="17"/>
        <v>3.4372285322362157</v>
      </c>
      <c r="V44" s="13">
        <f t="shared" si="18"/>
        <v>10.670967263212731</v>
      </c>
      <c r="W44" s="12">
        <f t="shared" si="19"/>
        <v>0.1364756485427813</v>
      </c>
      <c r="X44" s="12">
        <f t="shared" si="20"/>
        <v>0.45726797222801091</v>
      </c>
      <c r="Y44" s="13">
        <f t="shared" si="21"/>
        <v>10.199999999983712</v>
      </c>
      <c r="Z44" s="13">
        <f t="shared" si="22"/>
        <v>15.884578403544451</v>
      </c>
      <c r="AA44" s="13">
        <f t="shared" si="23"/>
        <v>368363823.52941179</v>
      </c>
    </row>
    <row r="45" spans="1:27" x14ac:dyDescent="0.25">
      <c r="A45" s="10" t="s">
        <v>603</v>
      </c>
      <c r="B45" s="11">
        <v>31414768000</v>
      </c>
      <c r="C45" s="11">
        <v>131937485000</v>
      </c>
      <c r="D45" s="11">
        <v>58680761000</v>
      </c>
      <c r="E45" s="11">
        <v>44158155000</v>
      </c>
      <c r="F45" s="11">
        <v>14468212000</v>
      </c>
      <c r="G45" s="11">
        <v>6542626000</v>
      </c>
      <c r="H45" s="11">
        <v>157196000000</v>
      </c>
      <c r="I45" s="11">
        <v>281683000000</v>
      </c>
      <c r="J45" s="11">
        <v>33703337</v>
      </c>
      <c r="K45" s="11">
        <v>16760000000</v>
      </c>
      <c r="L45" s="11">
        <v>118880000000</v>
      </c>
      <c r="M45" s="11"/>
      <c r="N45" s="11">
        <v>0</v>
      </c>
      <c r="O45" s="11"/>
      <c r="P45" s="12">
        <f t="shared" si="12"/>
        <v>0.19984457619786763</v>
      </c>
      <c r="Q45" s="12">
        <f t="shared" si="13"/>
        <v>0.11152525356517788</v>
      </c>
      <c r="R45" s="12">
        <f t="shared" si="14"/>
        <v>0.23810343209134235</v>
      </c>
      <c r="S45" s="12">
        <f t="shared" si="15"/>
        <v>0.33468998594296384</v>
      </c>
      <c r="T45" s="12">
        <f t="shared" si="16"/>
        <v>0.44476185823915015</v>
      </c>
      <c r="U45" s="13">
        <f t="shared" si="17"/>
        <v>2.329474920605255E-3</v>
      </c>
      <c r="V45" s="13">
        <f t="shared" si="18"/>
        <v>7.0605616877192565</v>
      </c>
      <c r="W45" s="12">
        <f t="shared" si="19"/>
        <v>4.1611895596958492E-2</v>
      </c>
      <c r="X45" s="12">
        <f t="shared" si="20"/>
        <v>0</v>
      </c>
      <c r="Y45" s="13" t="str">
        <f t="shared" si="21"/>
        <v/>
      </c>
      <c r="Z45" s="13">
        <f t="shared" si="22"/>
        <v>3.7842074784699986</v>
      </c>
      <c r="AA45" s="13" t="str">
        <f t="shared" si="23"/>
        <v/>
      </c>
    </row>
    <row r="46" spans="1:27" x14ac:dyDescent="0.25">
      <c r="A46" s="10" t="s">
        <v>604</v>
      </c>
      <c r="B46" s="11">
        <v>8280417070</v>
      </c>
      <c r="C46" s="11">
        <v>500449919410</v>
      </c>
      <c r="D46" s="11">
        <v>134668364470</v>
      </c>
      <c r="E46" s="11">
        <v>2920311630</v>
      </c>
      <c r="F46" s="11">
        <v>10365344410</v>
      </c>
      <c r="G46" s="11">
        <v>23507995840</v>
      </c>
      <c r="H46" s="11">
        <v>221890</v>
      </c>
      <c r="I46" s="11">
        <v>431730</v>
      </c>
      <c r="J46" s="11">
        <v>23280</v>
      </c>
      <c r="K46" s="11">
        <v>28030</v>
      </c>
      <c r="L46" s="11"/>
      <c r="M46" s="11"/>
      <c r="N46" s="11">
        <v>27.73</v>
      </c>
      <c r="O46" s="11">
        <v>298608621.35000002</v>
      </c>
      <c r="P46" s="12">
        <f t="shared" si="12"/>
        <v>37317.666726756499</v>
      </c>
      <c r="Q46" s="12">
        <f t="shared" si="13"/>
        <v>19179.619368586849</v>
      </c>
      <c r="R46" s="12">
        <f t="shared" si="14"/>
        <v>1.6545945455965119E-2</v>
      </c>
      <c r="S46" s="12">
        <f t="shared" si="15"/>
        <v>5.8353723654164429E-3</v>
      </c>
      <c r="T46" s="12">
        <f t="shared" si="16"/>
        <v>0.26909458718419976</v>
      </c>
      <c r="U46" s="13">
        <f t="shared" si="17"/>
        <v>2.245945631824886E-6</v>
      </c>
      <c r="V46" s="13">
        <f t="shared" si="18"/>
        <v>-4.5825780718076494E-7</v>
      </c>
      <c r="W46" s="12">
        <f t="shared" si="19"/>
        <v>95884.471346412698</v>
      </c>
      <c r="X46" s="12">
        <f t="shared" si="20"/>
        <v>0</v>
      </c>
      <c r="Y46" s="13">
        <f t="shared" si="21"/>
        <v>27.729999999881112</v>
      </c>
      <c r="Z46" s="13">
        <f t="shared" si="22"/>
        <v>0</v>
      </c>
      <c r="AA46" s="13">
        <f t="shared" si="23"/>
        <v>298608621.34871978</v>
      </c>
    </row>
    <row r="47" spans="1:27" x14ac:dyDescent="0.25">
      <c r="A47" s="10" t="s">
        <v>605</v>
      </c>
      <c r="B47" s="11">
        <v>-136319274</v>
      </c>
      <c r="C47" s="11"/>
      <c r="D47" s="11"/>
      <c r="E47" s="11">
        <v>-128626417</v>
      </c>
      <c r="F47" s="11"/>
      <c r="G47" s="11">
        <v>-245479319</v>
      </c>
      <c r="H47" s="11">
        <v>-442264520</v>
      </c>
      <c r="I47" s="11">
        <v>77793688</v>
      </c>
      <c r="J47" s="11">
        <v>456086732</v>
      </c>
      <c r="K47" s="11">
        <v>2015788</v>
      </c>
      <c r="L47" s="11">
        <v>1861914260</v>
      </c>
      <c r="M47" s="11"/>
      <c r="N47" s="11">
        <v>-21.2</v>
      </c>
      <c r="O47" s="11">
        <v>6430154.4299999997</v>
      </c>
      <c r="P47" s="12">
        <f t="shared" si="12"/>
        <v>0.30823018314921574</v>
      </c>
      <c r="Q47" s="12">
        <f t="shared" si="13"/>
        <v>-1.7523179258450892</v>
      </c>
      <c r="R47" s="12" t="str">
        <f t="shared" si="14"/>
        <v/>
      </c>
      <c r="S47" s="12" t="str">
        <f t="shared" si="15"/>
        <v/>
      </c>
      <c r="T47" s="12" t="str">
        <f t="shared" si="16"/>
        <v/>
      </c>
      <c r="U47" s="13" t="str">
        <f t="shared" si="17"/>
        <v/>
      </c>
      <c r="V47" s="13" t="str">
        <f t="shared" si="18"/>
        <v/>
      </c>
      <c r="W47" s="12">
        <f t="shared" si="19"/>
        <v>-17.75977093970198</v>
      </c>
      <c r="X47" s="12">
        <f t="shared" si="20"/>
        <v>0</v>
      </c>
      <c r="Y47" s="13">
        <f t="shared" si="21"/>
        <v>-21.200000013063452</v>
      </c>
      <c r="Z47" s="13">
        <f t="shared" si="22"/>
        <v>-13.658481338449617</v>
      </c>
      <c r="AA47" s="13">
        <f t="shared" si="23"/>
        <v>6430154.4339622641</v>
      </c>
    </row>
    <row r="48" spans="1:27" x14ac:dyDescent="0.25">
      <c r="A48" s="10" t="s">
        <v>606</v>
      </c>
      <c r="B48" s="11">
        <v>-23440000000</v>
      </c>
      <c r="C48" s="11">
        <v>94915000000</v>
      </c>
      <c r="D48" s="11">
        <v>82265000000</v>
      </c>
      <c r="E48" s="11">
        <v>28355000000</v>
      </c>
      <c r="F48" s="11"/>
      <c r="G48" s="11">
        <v>-217712000000</v>
      </c>
      <c r="H48" s="11">
        <v>815074000000</v>
      </c>
      <c r="I48" s="11">
        <v>1769021000000</v>
      </c>
      <c r="J48" s="11">
        <v>600063000000</v>
      </c>
      <c r="K48" s="11">
        <v>8257000000</v>
      </c>
      <c r="L48" s="11">
        <v>717842703600</v>
      </c>
      <c r="M48" s="11"/>
      <c r="N48" s="11">
        <v>-60.23</v>
      </c>
      <c r="O48" s="11">
        <v>389174829.81999999</v>
      </c>
      <c r="P48" s="12">
        <f t="shared" si="12"/>
        <v>-2.8758125029138458E-2</v>
      </c>
      <c r="Q48" s="12">
        <f t="shared" si="13"/>
        <v>-1.325026667292248E-2</v>
      </c>
      <c r="R48" s="12">
        <f t="shared" si="14"/>
        <v>-0.24695780435126166</v>
      </c>
      <c r="S48" s="12">
        <f t="shared" si="15"/>
        <v>0.29874097877047884</v>
      </c>
      <c r="T48" s="12">
        <f t="shared" si="16"/>
        <v>0.86672285729336773</v>
      </c>
      <c r="U48" s="13" t="str">
        <f t="shared" si="17"/>
        <v/>
      </c>
      <c r="V48" s="13" t="str">
        <f t="shared" si="18"/>
        <v/>
      </c>
      <c r="W48" s="12">
        <f t="shared" si="19"/>
        <v>-0.15384517541411186</v>
      </c>
      <c r="X48" s="12">
        <f t="shared" si="20"/>
        <v>0</v>
      </c>
      <c r="Y48" s="13">
        <f t="shared" si="21"/>
        <v>-60.229999999849426</v>
      </c>
      <c r="Z48" s="13">
        <f t="shared" si="22"/>
        <v>-30.624688720136518</v>
      </c>
      <c r="AA48" s="13">
        <f t="shared" si="23"/>
        <v>389174829.81902707</v>
      </c>
    </row>
    <row r="49" spans="1:27" x14ac:dyDescent="0.25">
      <c r="A49" s="10" t="s">
        <v>607</v>
      </c>
      <c r="B49" s="11">
        <v>-584899339</v>
      </c>
      <c r="C49" s="11">
        <v>17011142705</v>
      </c>
      <c r="D49" s="11">
        <v>6579036629</v>
      </c>
      <c r="E49" s="11">
        <v>-227100959</v>
      </c>
      <c r="F49" s="11"/>
      <c r="G49" s="11">
        <v>1565497484</v>
      </c>
      <c r="H49" s="11">
        <v>4261381334</v>
      </c>
      <c r="I49" s="11">
        <v>8939844994</v>
      </c>
      <c r="J49" s="11">
        <v>849026488</v>
      </c>
      <c r="K49" s="11">
        <v>1685726514</v>
      </c>
      <c r="L49" s="11">
        <v>1420000000000</v>
      </c>
      <c r="M49" s="11"/>
      <c r="N49" s="11"/>
      <c r="O49" s="11"/>
      <c r="P49" s="12">
        <f t="shared" si="12"/>
        <v>-0.13725580818907299</v>
      </c>
      <c r="Q49" s="12">
        <f t="shared" si="13"/>
        <v>-6.5426116380379831E-2</v>
      </c>
      <c r="R49" s="12">
        <f t="shared" si="14"/>
        <v>-3.438330682089237E-2</v>
      </c>
      <c r="S49" s="12">
        <f t="shared" si="15"/>
        <v>-1.3350129555567677E-2</v>
      </c>
      <c r="T49" s="12">
        <f t="shared" si="16"/>
        <v>0.38674865898727995</v>
      </c>
      <c r="U49" s="13" t="str">
        <f t="shared" si="17"/>
        <v/>
      </c>
      <c r="V49" s="13" t="str">
        <f t="shared" si="18"/>
        <v/>
      </c>
      <c r="W49" s="12">
        <f t="shared" si="19"/>
        <v>0.30633513772827031</v>
      </c>
      <c r="X49" s="12">
        <f t="shared" si="20"/>
        <v>0</v>
      </c>
      <c r="Y49" s="13" t="str">
        <f t="shared" si="21"/>
        <v/>
      </c>
      <c r="Z49" s="13">
        <f t="shared" si="22"/>
        <v>-2427.7681736275649</v>
      </c>
      <c r="AA49" s="13" t="str">
        <f t="shared" si="23"/>
        <v/>
      </c>
    </row>
    <row r="50" spans="1:27" x14ac:dyDescent="0.25">
      <c r="A50" s="10" t="s">
        <v>608</v>
      </c>
      <c r="B50" s="11">
        <v>6877163563</v>
      </c>
      <c r="C50" s="11">
        <v>13439686689</v>
      </c>
      <c r="D50" s="11">
        <v>7010326735</v>
      </c>
      <c r="E50" s="11">
        <v>2126316854</v>
      </c>
      <c r="F50" s="11">
        <v>2887064920</v>
      </c>
      <c r="G50" s="11">
        <v>-1480324346</v>
      </c>
      <c r="H50" s="11">
        <v>39779541217</v>
      </c>
      <c r="I50" s="11">
        <v>185226704180</v>
      </c>
      <c r="J50" s="11">
        <v>98934309504</v>
      </c>
      <c r="K50" s="11">
        <v>1378947579</v>
      </c>
      <c r="L50" s="11">
        <v>126376077155</v>
      </c>
      <c r="M50" s="11"/>
      <c r="N50" s="11">
        <v>85.16</v>
      </c>
      <c r="O50" s="11">
        <v>80755795.709999993</v>
      </c>
      <c r="P50" s="12">
        <f t="shared" si="12"/>
        <v>0.17288192253109766</v>
      </c>
      <c r="Q50" s="12">
        <f t="shared" si="13"/>
        <v>3.7128358966625544E-2</v>
      </c>
      <c r="R50" s="12">
        <f t="shared" si="14"/>
        <v>0.51170564628033788</v>
      </c>
      <c r="S50" s="12">
        <f t="shared" si="15"/>
        <v>0.15821178746230219</v>
      </c>
      <c r="T50" s="12">
        <f t="shared" si="16"/>
        <v>0.5216138513658769</v>
      </c>
      <c r="U50" s="13">
        <f t="shared" si="17"/>
        <v>34.268127751003256</v>
      </c>
      <c r="V50" s="13">
        <f t="shared" si="18"/>
        <v>77.563700604280143</v>
      </c>
      <c r="W50" s="12">
        <f t="shared" si="19"/>
        <v>-1.06717846725878E-2</v>
      </c>
      <c r="X50" s="12">
        <f t="shared" si="20"/>
        <v>0</v>
      </c>
      <c r="Y50" s="13">
        <f t="shared" si="21"/>
        <v>85.160000004165653</v>
      </c>
      <c r="Z50" s="13">
        <f t="shared" si="22"/>
        <v>18.376191869991153</v>
      </c>
      <c r="AA50" s="13">
        <f t="shared" si="23"/>
        <v>80755795.713950217</v>
      </c>
    </row>
    <row r="51" spans="1:27" x14ac:dyDescent="0.25">
      <c r="A51" s="10" t="s">
        <v>609</v>
      </c>
      <c r="B51" s="11">
        <v>-4283824831</v>
      </c>
      <c r="C51" s="11">
        <v>107502069497</v>
      </c>
      <c r="D51" s="11">
        <v>11324401036</v>
      </c>
      <c r="E51" s="11">
        <v>-2618396156</v>
      </c>
      <c r="F51" s="11"/>
      <c r="G51" s="11">
        <v>11726112538</v>
      </c>
      <c r="H51" s="11">
        <v>95749414959</v>
      </c>
      <c r="I51" s="11">
        <v>136357353627</v>
      </c>
      <c r="J51" s="11">
        <v>5137425882</v>
      </c>
      <c r="K51" s="11">
        <v>959144487</v>
      </c>
      <c r="L51" s="11">
        <v>67454909730</v>
      </c>
      <c r="M51" s="11"/>
      <c r="N51" s="11">
        <v>-29.53</v>
      </c>
      <c r="O51" s="11">
        <v>145066875.41</v>
      </c>
      <c r="P51" s="12">
        <f t="shared" si="12"/>
        <v>-4.4739958284176859E-2</v>
      </c>
      <c r="Q51" s="12">
        <f t="shared" si="13"/>
        <v>-3.1416162876834852E-2</v>
      </c>
      <c r="R51" s="12">
        <f t="shared" si="14"/>
        <v>-3.9848766177655273E-2</v>
      </c>
      <c r="S51" s="12">
        <f t="shared" si="15"/>
        <v>-2.4356704649979508E-2</v>
      </c>
      <c r="T51" s="12">
        <f t="shared" si="16"/>
        <v>0.10534123751279062</v>
      </c>
      <c r="U51" s="13" t="str">
        <f t="shared" si="17"/>
        <v/>
      </c>
      <c r="V51" s="13" t="str">
        <f t="shared" si="18"/>
        <v/>
      </c>
      <c r="W51" s="12">
        <f t="shared" si="19"/>
        <v>0.11623034719146995</v>
      </c>
      <c r="X51" s="12">
        <f t="shared" si="20"/>
        <v>0</v>
      </c>
      <c r="Y51" s="13">
        <f t="shared" si="21"/>
        <v>-29.530000000983684</v>
      </c>
      <c r="Z51" s="13">
        <f t="shared" si="22"/>
        <v>-15.746421105237765</v>
      </c>
      <c r="AA51" s="13">
        <f t="shared" si="23"/>
        <v>145066875.41483235</v>
      </c>
    </row>
    <row r="52" spans="1:27" x14ac:dyDescent="0.25">
      <c r="A52" s="10" t="s">
        <v>610</v>
      </c>
      <c r="B52" s="11">
        <v>-4514000840</v>
      </c>
      <c r="C52" s="11">
        <v>6403594170</v>
      </c>
      <c r="D52" s="11">
        <v>-598812653</v>
      </c>
      <c r="E52" s="11">
        <v>-3368847842</v>
      </c>
      <c r="F52" s="11">
        <v>103.25</v>
      </c>
      <c r="G52" s="11">
        <v>397751764</v>
      </c>
      <c r="H52" s="11">
        <v>-526190929</v>
      </c>
      <c r="I52" s="11">
        <v>7745454535</v>
      </c>
      <c r="J52" s="11">
        <v>1450004478</v>
      </c>
      <c r="K52" s="11">
        <v>712263697</v>
      </c>
      <c r="L52" s="11">
        <v>6814314400</v>
      </c>
      <c r="M52" s="11"/>
      <c r="N52" s="11">
        <v>-104.62</v>
      </c>
      <c r="O52" s="11">
        <v>43146633.909999996</v>
      </c>
      <c r="P52" s="12">
        <f t="shared" si="12"/>
        <v>8.5786367480310552</v>
      </c>
      <c r="Q52" s="12">
        <f t="shared" si="13"/>
        <v>-0.58279353646738563</v>
      </c>
      <c r="R52" s="12">
        <f t="shared" si="14"/>
        <v>-0.70491675770889772</v>
      </c>
      <c r="S52" s="12">
        <f t="shared" si="15"/>
        <v>-0.52608703059019746</v>
      </c>
      <c r="T52" s="12">
        <f t="shared" si="16"/>
        <v>-9.3511961736325963E-2</v>
      </c>
      <c r="U52" s="13">
        <f t="shared" si="17"/>
        <v>14043626.905569008</v>
      </c>
      <c r="V52" s="13">
        <f t="shared" si="18"/>
        <v>73143391.583535105</v>
      </c>
      <c r="W52" s="12">
        <f t="shared" si="19"/>
        <v>0.43055415720039414</v>
      </c>
      <c r="X52" s="12">
        <f t="shared" si="20"/>
        <v>0</v>
      </c>
      <c r="Y52" s="13">
        <f t="shared" si="21"/>
        <v>-104.62000000778278</v>
      </c>
      <c r="Z52" s="13">
        <f t="shared" si="22"/>
        <v>-1.5095952884226755</v>
      </c>
      <c r="AA52" s="13">
        <f t="shared" si="23"/>
        <v>43146633.913209707</v>
      </c>
    </row>
    <row r="53" spans="1:27" x14ac:dyDescent="0.25">
      <c r="A53" s="10" t="s">
        <v>611</v>
      </c>
      <c r="B53" s="11">
        <v>-34893010000</v>
      </c>
      <c r="C53" s="11">
        <v>172519516000</v>
      </c>
      <c r="D53" s="11">
        <v>31591212000</v>
      </c>
      <c r="E53" s="11">
        <v>-2609078000</v>
      </c>
      <c r="F53" s="11">
        <v>20020894000</v>
      </c>
      <c r="G53" s="11">
        <v>15301399000</v>
      </c>
      <c r="H53" s="11">
        <v>107395576000</v>
      </c>
      <c r="I53" s="11">
        <v>664730984000</v>
      </c>
      <c r="J53" s="11">
        <v>442923829000</v>
      </c>
      <c r="K53" s="11">
        <v>79835061000</v>
      </c>
      <c r="L53" s="11">
        <v>1011090245056</v>
      </c>
      <c r="M53" s="11"/>
      <c r="N53" s="11"/>
      <c r="O53" s="11"/>
      <c r="P53" s="12">
        <f t="shared" si="12"/>
        <v>-0.32490174455603271</v>
      </c>
      <c r="Q53" s="12">
        <f t="shared" si="13"/>
        <v>-5.2491926568598163E-2</v>
      </c>
      <c r="R53" s="12">
        <f t="shared" si="14"/>
        <v>-0.20225543642262478</v>
      </c>
      <c r="S53" s="12">
        <f t="shared" si="15"/>
        <v>-1.5123378852975683E-2</v>
      </c>
      <c r="T53" s="12">
        <f t="shared" si="16"/>
        <v>0.18311674373118458</v>
      </c>
      <c r="U53" s="13">
        <f t="shared" si="17"/>
        <v>22.123079468878863</v>
      </c>
      <c r="V53" s="13">
        <f t="shared" si="18"/>
        <v>68.637245322611463</v>
      </c>
      <c r="W53" s="12">
        <f t="shared" si="19"/>
        <v>2.7804578324836647E-2</v>
      </c>
      <c r="X53" s="12">
        <f t="shared" si="20"/>
        <v>0</v>
      </c>
      <c r="Y53" s="13" t="str">
        <f t="shared" si="21"/>
        <v/>
      </c>
      <c r="Z53" s="13">
        <f t="shared" si="22"/>
        <v>-28.976870870584108</v>
      </c>
      <c r="AA53" s="13" t="str">
        <f t="shared" si="23"/>
        <v/>
      </c>
    </row>
    <row r="54" spans="1:27" x14ac:dyDescent="0.25">
      <c r="A54" s="10" t="s">
        <v>612</v>
      </c>
      <c r="B54" s="11">
        <v>1525797157</v>
      </c>
      <c r="C54" s="11">
        <v>61626798257</v>
      </c>
      <c r="D54" s="11">
        <v>5894478115</v>
      </c>
      <c r="E54" s="11">
        <v>426520931</v>
      </c>
      <c r="F54" s="11">
        <v>614052743</v>
      </c>
      <c r="G54" s="11">
        <v>-2293486171</v>
      </c>
      <c r="H54" s="11">
        <v>43619356039</v>
      </c>
      <c r="I54" s="11">
        <v>58042980396</v>
      </c>
      <c r="J54" s="11">
        <v>1316363224</v>
      </c>
      <c r="K54" s="11">
        <v>16430985604</v>
      </c>
      <c r="L54" s="11">
        <v>60479997253.419998</v>
      </c>
      <c r="M54" s="11">
        <v>205200000</v>
      </c>
      <c r="N54" s="11">
        <v>0.61</v>
      </c>
      <c r="O54" s="11">
        <v>2501306814.75</v>
      </c>
      <c r="P54" s="12">
        <f t="shared" si="12"/>
        <v>3.4979818492409359E-2</v>
      </c>
      <c r="Q54" s="12">
        <f t="shared" si="13"/>
        <v>2.6287367509218212E-2</v>
      </c>
      <c r="R54" s="12">
        <f t="shared" si="14"/>
        <v>2.4758663441138438E-2</v>
      </c>
      <c r="S54" s="12">
        <f t="shared" si="15"/>
        <v>6.921030185947601E-3</v>
      </c>
      <c r="T54" s="12">
        <f t="shared" si="16"/>
        <v>9.5647969417759979E-2</v>
      </c>
      <c r="U54" s="13">
        <f t="shared" si="17"/>
        <v>2.1437298978078174</v>
      </c>
      <c r="V54" s="13">
        <f t="shared" si="18"/>
        <v>73.878629141503566</v>
      </c>
      <c r="W54" s="12">
        <f t="shared" si="19"/>
        <v>-5.1039266948786841E-2</v>
      </c>
      <c r="X54" s="12">
        <f t="shared" si="20"/>
        <v>0.13448707717050754</v>
      </c>
      <c r="Y54" s="13">
        <f t="shared" si="21"/>
        <v>0.61000000000099952</v>
      </c>
      <c r="Z54" s="13">
        <f t="shared" si="22"/>
        <v>39.638294629107108</v>
      </c>
      <c r="AA54" s="13">
        <f t="shared" si="23"/>
        <v>2501306814.7540984</v>
      </c>
    </row>
    <row r="55" spans="1:27" x14ac:dyDescent="0.25">
      <c r="A55" s="10" t="s">
        <v>613</v>
      </c>
      <c r="B55" s="11">
        <v>247313878000</v>
      </c>
      <c r="C55" s="11">
        <v>348094823000</v>
      </c>
      <c r="D55" s="11">
        <v>266840820000</v>
      </c>
      <c r="E55" s="11">
        <v>311417628000</v>
      </c>
      <c r="F55" s="11">
        <v>210036326000</v>
      </c>
      <c r="G55" s="11">
        <v>424464644000</v>
      </c>
      <c r="H55" s="11">
        <v>1021107951000</v>
      </c>
      <c r="I55" s="11">
        <v>1302696187000</v>
      </c>
      <c r="J55" s="11">
        <v>31320353000</v>
      </c>
      <c r="K55" s="11">
        <v>17460138000</v>
      </c>
      <c r="L55" s="11">
        <v>1748708277220</v>
      </c>
      <c r="M55" s="11"/>
      <c r="N55" s="11">
        <v>562.88</v>
      </c>
      <c r="O55" s="11">
        <v>439372296.05000001</v>
      </c>
      <c r="P55" s="12">
        <f t="shared" si="12"/>
        <v>0.24220150059334911</v>
      </c>
      <c r="Q55" s="12">
        <f t="shared" si="13"/>
        <v>0.18984770237912732</v>
      </c>
      <c r="R55" s="12">
        <f t="shared" si="14"/>
        <v>0.71047847212597015</v>
      </c>
      <c r="S55" s="12">
        <f t="shared" si="15"/>
        <v>0.89463447148135267</v>
      </c>
      <c r="T55" s="12">
        <f t="shared" si="16"/>
        <v>0.76657508922504147</v>
      </c>
      <c r="U55" s="13">
        <f t="shared" si="17"/>
        <v>0.14911874339298811</v>
      </c>
      <c r="V55" s="13">
        <f t="shared" si="18"/>
        <v>8.39173168654645</v>
      </c>
      <c r="W55" s="12">
        <f t="shared" si="19"/>
        <v>0.40331929727347965</v>
      </c>
      <c r="X55" s="12">
        <f t="shared" si="20"/>
        <v>0</v>
      </c>
      <c r="Y55" s="13">
        <f t="shared" si="21"/>
        <v>562.87999999857982</v>
      </c>
      <c r="Z55" s="13">
        <f t="shared" si="22"/>
        <v>7.0708052914846942</v>
      </c>
      <c r="AA55" s="13">
        <f t="shared" si="23"/>
        <v>439372296.04889143</v>
      </c>
    </row>
    <row r="56" spans="1:27" x14ac:dyDescent="0.25">
      <c r="A56" s="10" t="s">
        <v>614</v>
      </c>
      <c r="B56" s="11">
        <v>194430762000</v>
      </c>
      <c r="C56" s="11">
        <v>395047668000</v>
      </c>
      <c r="D56" s="11">
        <v>242783301000</v>
      </c>
      <c r="E56" s="11">
        <v>201611605000</v>
      </c>
      <c r="F56" s="11">
        <v>233665119000</v>
      </c>
      <c r="G56" s="11">
        <v>105053222000</v>
      </c>
      <c r="H56" s="11">
        <v>864522572000</v>
      </c>
      <c r="I56" s="11">
        <v>1122833040000</v>
      </c>
      <c r="J56" s="11">
        <v>60566005000</v>
      </c>
      <c r="K56" s="11">
        <v>49263330000</v>
      </c>
      <c r="L56" s="11">
        <v>1637511250087.5</v>
      </c>
      <c r="M56" s="11">
        <v>134200000000</v>
      </c>
      <c r="N56" s="11">
        <v>437.24</v>
      </c>
      <c r="O56" s="11">
        <v>444677435.73000002</v>
      </c>
      <c r="P56" s="12">
        <f t="shared" si="12"/>
        <v>0.22489957844617156</v>
      </c>
      <c r="Q56" s="12">
        <f t="shared" si="13"/>
        <v>0.17316088418630787</v>
      </c>
      <c r="R56" s="12">
        <f t="shared" si="14"/>
        <v>0.49217038284098918</v>
      </c>
      <c r="S56" s="12">
        <f t="shared" si="15"/>
        <v>0.51034753861652971</v>
      </c>
      <c r="T56" s="12">
        <f t="shared" si="16"/>
        <v>0.61456710332992015</v>
      </c>
      <c r="U56" s="13">
        <f t="shared" si="17"/>
        <v>0.25920002634197192</v>
      </c>
      <c r="V56" s="13">
        <f t="shared" si="18"/>
        <v>7.0563117513808296</v>
      </c>
      <c r="W56" s="12">
        <f t="shared" si="19"/>
        <v>0.11356017641108544</v>
      </c>
      <c r="X56" s="12">
        <f t="shared" si="20"/>
        <v>0.69021999718336746</v>
      </c>
      <c r="Y56" s="13">
        <f t="shared" si="21"/>
        <v>437.24000000318159</v>
      </c>
      <c r="Z56" s="13">
        <f t="shared" si="22"/>
        <v>8.4220790642557883</v>
      </c>
      <c r="AA56" s="13">
        <f t="shared" si="23"/>
        <v>444677435.73323572</v>
      </c>
    </row>
    <row r="57" spans="1:27" x14ac:dyDescent="0.25">
      <c r="A57" s="10" t="s">
        <v>615</v>
      </c>
      <c r="B57" s="11">
        <v>83417000000</v>
      </c>
      <c r="C57" s="11">
        <v>2514965000000</v>
      </c>
      <c r="D57" s="11">
        <v>481110000000</v>
      </c>
      <c r="E57" s="11">
        <v>59131000000</v>
      </c>
      <c r="F57" s="11">
        <v>193494000000</v>
      </c>
      <c r="G57" s="11">
        <v>297862000000</v>
      </c>
      <c r="H57" s="11">
        <v>6812761000000</v>
      </c>
      <c r="I57" s="11">
        <v>7538258000000</v>
      </c>
      <c r="J57" s="11">
        <v>142535000000</v>
      </c>
      <c r="K57" s="11">
        <v>163490000000</v>
      </c>
      <c r="L57" s="11">
        <v>3001608978283.5</v>
      </c>
      <c r="M57" s="11">
        <v>554753000229</v>
      </c>
      <c r="N57" s="11">
        <v>18.47</v>
      </c>
      <c r="O57" s="11">
        <v>4516350839.1999998</v>
      </c>
      <c r="P57" s="12">
        <f t="shared" si="12"/>
        <v>1.2244228147736284E-2</v>
      </c>
      <c r="Q57" s="12">
        <f t="shared" si="13"/>
        <v>1.1065819185281267E-2</v>
      </c>
      <c r="R57" s="12">
        <f t="shared" si="14"/>
        <v>3.3168254826607922E-2</v>
      </c>
      <c r="S57" s="12">
        <f t="shared" si="15"/>
        <v>2.3511659207981025E-2</v>
      </c>
      <c r="T57" s="12">
        <f t="shared" si="16"/>
        <v>0.19129888487513744</v>
      </c>
      <c r="U57" s="13">
        <f t="shared" si="17"/>
        <v>0.73663782856315962</v>
      </c>
      <c r="V57" s="13">
        <f t="shared" si="18"/>
        <v>15.404374183610345</v>
      </c>
      <c r="W57" s="12">
        <f t="shared" si="19"/>
        <v>4.2825208301702763E-2</v>
      </c>
      <c r="X57" s="12">
        <f t="shared" si="20"/>
        <v>6.6503590422695611</v>
      </c>
      <c r="Y57" s="13">
        <f t="shared" si="21"/>
        <v>18.469999999994688</v>
      </c>
      <c r="Z57" s="13">
        <f t="shared" si="22"/>
        <v>35.983180626053439</v>
      </c>
      <c r="AA57" s="13">
        <f t="shared" si="23"/>
        <v>4516350839.1987009</v>
      </c>
    </row>
    <row r="58" spans="1:27" x14ac:dyDescent="0.25">
      <c r="A58" s="10" t="s">
        <v>616</v>
      </c>
      <c r="B58" s="11">
        <v>70631394760</v>
      </c>
      <c r="C58" s="11">
        <v>492508368529</v>
      </c>
      <c r="D58" s="11">
        <v>301322698715</v>
      </c>
      <c r="E58" s="11"/>
      <c r="F58" s="11"/>
      <c r="G58" s="11">
        <v>80484874082</v>
      </c>
      <c r="H58" s="11">
        <v>412185139000</v>
      </c>
      <c r="I58" s="11">
        <v>2865979144000</v>
      </c>
      <c r="J58" s="11">
        <v>0</v>
      </c>
      <c r="K58" s="11">
        <v>723421726000</v>
      </c>
      <c r="L58" s="11">
        <v>749266426887</v>
      </c>
      <c r="M58" s="11">
        <v>8614036339</v>
      </c>
      <c r="N58" s="11">
        <v>51.54</v>
      </c>
      <c r="O58" s="11">
        <v>1370418990.3</v>
      </c>
      <c r="P58" s="12">
        <f t="shared" si="12"/>
        <v>0.17135842143983751</v>
      </c>
      <c r="Q58" s="12">
        <f t="shared" si="13"/>
        <v>2.4644769278195418E-2</v>
      </c>
      <c r="R58" s="12">
        <f t="shared" si="14"/>
        <v>0.14341156267244434</v>
      </c>
      <c r="S58" s="12">
        <f t="shared" si="15"/>
        <v>0</v>
      </c>
      <c r="T58" s="12">
        <f t="shared" si="16"/>
        <v>0.6118123426307982</v>
      </c>
      <c r="U58" s="13" t="str">
        <f t="shared" si="17"/>
        <v/>
      </c>
      <c r="V58" s="13" t="str">
        <f t="shared" si="18"/>
        <v/>
      </c>
      <c r="W58" s="12">
        <f t="shared" si="19"/>
        <v>0.19526389106910524</v>
      </c>
      <c r="X58" s="12">
        <f t="shared" si="20"/>
        <v>0.12195761344186713</v>
      </c>
      <c r="Y58" s="13">
        <f t="shared" si="21"/>
        <v>51.539999999954759</v>
      </c>
      <c r="Z58" s="13">
        <f t="shared" si="22"/>
        <v>10.608121635328725</v>
      </c>
      <c r="AA58" s="13">
        <f t="shared" si="23"/>
        <v>1370418990.2987971</v>
      </c>
    </row>
    <row r="59" spans="1:27" x14ac:dyDescent="0.25">
      <c r="P59" s="17">
        <f>+COUNT(P3:P58)/56</f>
        <v>0.9821428571428571</v>
      </c>
      <c r="Q59" s="17">
        <f t="shared" ref="Q59:AA59" si="24">+COUNT(Q3:Q58)/56</f>
        <v>0.9821428571428571</v>
      </c>
      <c r="R59" s="17">
        <f t="shared" si="24"/>
        <v>0.9285714285714286</v>
      </c>
      <c r="S59" s="17">
        <f t="shared" si="24"/>
        <v>0.9285714285714286</v>
      </c>
      <c r="T59" s="17">
        <f t="shared" si="24"/>
        <v>0.9285714285714286</v>
      </c>
      <c r="U59" s="17">
        <f t="shared" si="24"/>
        <v>0.8035714285714286</v>
      </c>
      <c r="V59" s="17">
        <f t="shared" si="24"/>
        <v>0.8035714285714286</v>
      </c>
      <c r="W59" s="17">
        <f t="shared" si="24"/>
        <v>0.9821428571428571</v>
      </c>
      <c r="X59" s="17">
        <f t="shared" si="24"/>
        <v>0.9464285714285714</v>
      </c>
      <c r="Y59" s="17">
        <f t="shared" si="24"/>
        <v>0.875</v>
      </c>
      <c r="Z59" s="17">
        <f t="shared" si="24"/>
        <v>0.9464285714285714</v>
      </c>
      <c r="AA59" s="17">
        <f t="shared" si="24"/>
        <v>0.875</v>
      </c>
    </row>
  </sheetData>
  <mergeCells count="2">
    <mergeCell ref="P1:AA1"/>
    <mergeCell ref="B1:O1"/>
  </mergeCells>
  <pageMargins left="0.75" right="0.75" top="1" bottom="1" header="0.5" footer="0.5"/>
  <pageSetup scale="3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9"/>
  <sheetViews>
    <sheetView tabSelected="1" workbookViewId="0">
      <pane xSplit="1" ySplit="2" topLeftCell="I3" activePane="bottomRight" state="frozen"/>
      <selection pane="topRight"/>
      <selection pane="bottomLeft"/>
      <selection pane="bottomRight" activeCell="N16" sqref="N16"/>
    </sheetView>
  </sheetViews>
  <sheetFormatPr defaultRowHeight="15" x14ac:dyDescent="0.25"/>
  <cols>
    <col min="1" max="1" width="10" customWidth="1"/>
    <col min="2" max="15" width="15" customWidth="1"/>
    <col min="16" max="27" width="12" customWidth="1"/>
  </cols>
  <sheetData>
    <row r="1" spans="1:27" x14ac:dyDescent="0.25">
      <c r="B1" s="16" t="s">
        <v>45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4" t="s">
        <v>46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7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32</v>
      </c>
      <c r="O2" s="8" t="s">
        <v>38</v>
      </c>
      <c r="P2" s="9" t="s">
        <v>5</v>
      </c>
      <c r="Q2" s="9" t="s">
        <v>8</v>
      </c>
      <c r="R2" s="9" t="s">
        <v>11</v>
      </c>
      <c r="S2" s="9" t="s">
        <v>14</v>
      </c>
      <c r="T2" s="9" t="s">
        <v>17</v>
      </c>
      <c r="U2" s="9" t="s">
        <v>20</v>
      </c>
      <c r="V2" s="9" t="s">
        <v>23</v>
      </c>
      <c r="W2" s="9" t="s">
        <v>26</v>
      </c>
      <c r="X2" s="9" t="s">
        <v>29</v>
      </c>
      <c r="Y2" s="9" t="s">
        <v>60</v>
      </c>
      <c r="Z2" s="9" t="s">
        <v>35</v>
      </c>
      <c r="AA2" s="9" t="s">
        <v>61</v>
      </c>
    </row>
    <row r="3" spans="1:27" x14ac:dyDescent="0.25">
      <c r="A3" s="10" t="s">
        <v>617</v>
      </c>
      <c r="B3" s="11">
        <v>364815580000</v>
      </c>
      <c r="C3" s="11"/>
      <c r="D3" s="11"/>
      <c r="E3" s="11"/>
      <c r="F3" s="11">
        <v>520641307000</v>
      </c>
      <c r="G3" s="11"/>
      <c r="H3" s="11">
        <v>2807744138000</v>
      </c>
      <c r="I3" s="11">
        <v>14719893843000</v>
      </c>
      <c r="J3" s="11"/>
      <c r="K3" s="11"/>
      <c r="L3" s="11">
        <v>3962191766.29</v>
      </c>
      <c r="M3" s="11">
        <v>90609727000</v>
      </c>
      <c r="N3" s="11"/>
      <c r="O3" s="11"/>
      <c r="P3" s="12">
        <f t="shared" ref="P3:P18" si="0">IFERROR(B3/H3,"")</f>
        <v>0.12993191760694542</v>
      </c>
      <c r="Q3" s="12">
        <f t="shared" ref="Q3:Q18" si="1">IFERROR(B3/I3,"")</f>
        <v>2.4783845854532905E-2</v>
      </c>
      <c r="R3" s="12" t="str">
        <f t="shared" ref="R3:R18" si="2">IFERROR(B3/C3,"")</f>
        <v/>
      </c>
      <c r="S3" s="12" t="str">
        <f t="shared" ref="S3:S18" si="3">IFERROR(E3/C3,"")</f>
        <v/>
      </c>
      <c r="T3" s="12" t="str">
        <f t="shared" ref="T3:T18" si="4">IFERROR(D3/C3,"")</f>
        <v/>
      </c>
      <c r="U3" s="13">
        <f t="shared" ref="U3:U18" si="5">IFERROR(J3/F3,"")</f>
        <v>0</v>
      </c>
      <c r="V3" s="13">
        <f t="shared" ref="V3:V18" si="6">IFERROR((L3+J3-K3)/F3,"")</f>
        <v>7.610214005340149E-3</v>
      </c>
      <c r="W3" s="12">
        <f t="shared" ref="W3:W18" si="7">IFERROR(G3/(J3+H3),"")</f>
        <v>0</v>
      </c>
      <c r="X3" s="12">
        <f t="shared" ref="X3:X18" si="8">IFERROR(M3/B3,"")</f>
        <v>0.24837131955822719</v>
      </c>
      <c r="Y3" s="13" t="str">
        <f t="shared" ref="Y3:Y18" si="9">IFERROR(B3/O3,"")</f>
        <v/>
      </c>
      <c r="Z3" s="13">
        <f t="shared" ref="Z3:Z18" si="10">IFERROR(L3/B3,"")</f>
        <v>1.0860807442187639E-2</v>
      </c>
      <c r="AA3" s="13" t="str">
        <f t="shared" ref="AA3:AA18" si="11">IFERROR(B3/N3,"")</f>
        <v/>
      </c>
    </row>
    <row r="4" spans="1:27" x14ac:dyDescent="0.25">
      <c r="A4" s="10" t="s">
        <v>618</v>
      </c>
      <c r="B4" s="11">
        <v>-56374677</v>
      </c>
      <c r="C4" s="11">
        <v>278073250</v>
      </c>
      <c r="D4" s="11">
        <v>106479363</v>
      </c>
      <c r="E4" s="11">
        <v>4684690</v>
      </c>
      <c r="F4" s="11"/>
      <c r="G4" s="11">
        <v>79504247</v>
      </c>
      <c r="H4" s="11">
        <v>192979318</v>
      </c>
      <c r="I4" s="11">
        <v>560361541</v>
      </c>
      <c r="J4" s="11">
        <v>10400000</v>
      </c>
      <c r="K4" s="11"/>
      <c r="L4" s="11">
        <v>21416612.300000001</v>
      </c>
      <c r="M4" s="11"/>
      <c r="N4" s="11">
        <v>-0.89</v>
      </c>
      <c r="O4" s="11">
        <v>63428167</v>
      </c>
      <c r="P4" s="12">
        <f t="shared" si="0"/>
        <v>-0.29212807664705293</v>
      </c>
      <c r="Q4" s="12">
        <f t="shared" si="1"/>
        <v>-0.10060411515643256</v>
      </c>
      <c r="R4" s="12">
        <f t="shared" si="2"/>
        <v>-0.20273318990589709</v>
      </c>
      <c r="S4" s="12">
        <f t="shared" si="3"/>
        <v>1.684696388451604E-2</v>
      </c>
      <c r="T4" s="12">
        <f t="shared" si="4"/>
        <v>0.38291839650164122</v>
      </c>
      <c r="U4" s="13" t="str">
        <f t="shared" si="5"/>
        <v/>
      </c>
      <c r="V4" s="13" t="str">
        <f t="shared" si="6"/>
        <v/>
      </c>
      <c r="W4" s="12">
        <f t="shared" si="7"/>
        <v>0.39091608616762102</v>
      </c>
      <c r="X4" s="12">
        <f t="shared" si="8"/>
        <v>0</v>
      </c>
      <c r="Y4" s="13">
        <f t="shared" si="9"/>
        <v>-0.88879561977567478</v>
      </c>
      <c r="Z4" s="13">
        <f t="shared" si="10"/>
        <v>-0.37989773848282982</v>
      </c>
      <c r="AA4" s="13">
        <f t="shared" si="11"/>
        <v>63342333.707865171</v>
      </c>
    </row>
    <row r="5" spans="1:27" x14ac:dyDescent="0.25">
      <c r="A5" s="10" t="s">
        <v>619</v>
      </c>
      <c r="B5" s="11">
        <v>325502107000</v>
      </c>
      <c r="C5" s="11"/>
      <c r="D5" s="11"/>
      <c r="E5" s="11"/>
      <c r="F5" s="11">
        <v>2855921330000</v>
      </c>
      <c r="G5" s="11">
        <v>1877621962000</v>
      </c>
      <c r="H5" s="11">
        <v>4243845712500</v>
      </c>
      <c r="I5" s="11">
        <v>14492424831000</v>
      </c>
      <c r="J5" s="11"/>
      <c r="K5" s="11"/>
      <c r="L5" s="11">
        <v>5743003655.0900002</v>
      </c>
      <c r="M5" s="11">
        <v>466940836000</v>
      </c>
      <c r="N5" s="11"/>
      <c r="O5" s="11"/>
      <c r="P5" s="12">
        <f t="shared" si="0"/>
        <v>7.6699797554197729E-2</v>
      </c>
      <c r="Q5" s="12">
        <f t="shared" si="1"/>
        <v>2.2460154928920881E-2</v>
      </c>
      <c r="R5" s="12" t="str">
        <f t="shared" si="2"/>
        <v/>
      </c>
      <c r="S5" s="12" t="str">
        <f t="shared" si="3"/>
        <v/>
      </c>
      <c r="T5" s="12" t="str">
        <f t="shared" si="4"/>
        <v/>
      </c>
      <c r="U5" s="13">
        <f t="shared" si="5"/>
        <v>0</v>
      </c>
      <c r="V5" s="13">
        <f t="shared" si="6"/>
        <v>2.0109110131160371E-3</v>
      </c>
      <c r="W5" s="12">
        <f t="shared" si="7"/>
        <v>0.44243407729681927</v>
      </c>
      <c r="X5" s="12">
        <f t="shared" si="8"/>
        <v>1.4345247725232082</v>
      </c>
      <c r="Y5" s="13" t="str">
        <f t="shared" si="9"/>
        <v/>
      </c>
      <c r="Z5" s="13">
        <f t="shared" si="10"/>
        <v>1.7643522212561286E-2</v>
      </c>
      <c r="AA5" s="13" t="str">
        <f t="shared" si="11"/>
        <v/>
      </c>
    </row>
    <row r="6" spans="1:27" x14ac:dyDescent="0.25">
      <c r="A6" s="10" t="s">
        <v>620</v>
      </c>
      <c r="B6" s="11">
        <v>49598138000</v>
      </c>
      <c r="C6" s="11">
        <v>738169736000</v>
      </c>
      <c r="D6" s="11">
        <v>291641978000</v>
      </c>
      <c r="E6" s="11">
        <v>197203448000</v>
      </c>
      <c r="F6" s="11"/>
      <c r="G6" s="11">
        <v>115719887000</v>
      </c>
      <c r="H6" s="11">
        <v>1808992998500</v>
      </c>
      <c r="I6" s="11">
        <v>2662055984000</v>
      </c>
      <c r="J6" s="11"/>
      <c r="K6" s="11"/>
      <c r="L6" s="11">
        <v>2161301666.6900001</v>
      </c>
      <c r="M6" s="11">
        <v>16651622000</v>
      </c>
      <c r="N6" s="11"/>
      <c r="O6" s="11"/>
      <c r="P6" s="12">
        <f t="shared" si="0"/>
        <v>2.7417540057438756E-2</v>
      </c>
      <c r="Q6" s="12">
        <f t="shared" si="1"/>
        <v>1.863151575252521E-2</v>
      </c>
      <c r="R6" s="12">
        <f t="shared" si="2"/>
        <v>6.7190695555689919E-2</v>
      </c>
      <c r="S6" s="12">
        <f t="shared" si="3"/>
        <v>0.26715190068426214</v>
      </c>
      <c r="T6" s="12">
        <f t="shared" si="4"/>
        <v>0.3950879638880237</v>
      </c>
      <c r="U6" s="13" t="str">
        <f t="shared" si="5"/>
        <v/>
      </c>
      <c r="V6" s="13" t="str">
        <f t="shared" si="6"/>
        <v/>
      </c>
      <c r="W6" s="12">
        <f t="shared" si="7"/>
        <v>6.3969228789693411E-2</v>
      </c>
      <c r="X6" s="12">
        <f t="shared" si="8"/>
        <v>0.33573078892598751</v>
      </c>
      <c r="Y6" s="13" t="str">
        <f t="shared" si="9"/>
        <v/>
      </c>
      <c r="Z6" s="13">
        <f t="shared" si="10"/>
        <v>4.3576266243906175E-2</v>
      </c>
      <c r="AA6" s="13" t="str">
        <f t="shared" si="11"/>
        <v/>
      </c>
    </row>
    <row r="7" spans="1:27" x14ac:dyDescent="0.25">
      <c r="A7" s="10" t="s">
        <v>621</v>
      </c>
      <c r="B7" s="11">
        <v>96148000000</v>
      </c>
      <c r="C7" s="11">
        <v>914157000000</v>
      </c>
      <c r="D7" s="11">
        <v>368054000000</v>
      </c>
      <c r="E7" s="11">
        <v>43229000000</v>
      </c>
      <c r="F7" s="11">
        <v>90846000000</v>
      </c>
      <c r="G7" s="11">
        <v>105589000000</v>
      </c>
      <c r="H7" s="11">
        <v>2196016500000</v>
      </c>
      <c r="I7" s="11">
        <v>5088822000000</v>
      </c>
      <c r="J7" s="11">
        <v>118668000000</v>
      </c>
      <c r="K7" s="11"/>
      <c r="L7" s="11">
        <v>738331279.53999996</v>
      </c>
      <c r="M7" s="11">
        <v>87431000000</v>
      </c>
      <c r="N7" s="11"/>
      <c r="O7" s="11"/>
      <c r="P7" s="12">
        <f t="shared" si="0"/>
        <v>4.3782913288675201E-2</v>
      </c>
      <c r="Q7" s="12">
        <f t="shared" si="1"/>
        <v>1.8893960134585174E-2</v>
      </c>
      <c r="R7" s="12">
        <f t="shared" si="2"/>
        <v>0.10517668190474941</v>
      </c>
      <c r="S7" s="12">
        <f t="shared" si="3"/>
        <v>4.7288376066693137E-2</v>
      </c>
      <c r="T7" s="12">
        <f t="shared" si="4"/>
        <v>0.40261574324760407</v>
      </c>
      <c r="U7" s="13">
        <f t="shared" si="5"/>
        <v>1.306254540651212</v>
      </c>
      <c r="V7" s="13">
        <f t="shared" si="6"/>
        <v>1.3143818250615327</v>
      </c>
      <c r="W7" s="12">
        <f t="shared" si="7"/>
        <v>4.5617016055535864E-2</v>
      </c>
      <c r="X7" s="12">
        <f t="shared" si="8"/>
        <v>0.9093376877314141</v>
      </c>
      <c r="Y7" s="13" t="str">
        <f t="shared" si="9"/>
        <v/>
      </c>
      <c r="Z7" s="13">
        <f t="shared" si="10"/>
        <v>7.6791121972375918E-3</v>
      </c>
      <c r="AA7" s="13" t="str">
        <f t="shared" si="11"/>
        <v/>
      </c>
    </row>
    <row r="8" spans="1:27" x14ac:dyDescent="0.25">
      <c r="A8" s="10" t="s">
        <v>622</v>
      </c>
      <c r="B8" s="11">
        <v>274401000000</v>
      </c>
      <c r="C8" s="11">
        <v>2043127000000</v>
      </c>
      <c r="D8" s="11">
        <v>394596000000</v>
      </c>
      <c r="E8" s="11">
        <v>42073000000</v>
      </c>
      <c r="F8" s="11">
        <v>196632000000</v>
      </c>
      <c r="G8" s="11">
        <v>-114049000000</v>
      </c>
      <c r="H8" s="11">
        <v>1369834500000</v>
      </c>
      <c r="I8" s="11">
        <v>3979577000000</v>
      </c>
      <c r="J8" s="11">
        <v>467475000000</v>
      </c>
      <c r="K8" s="11"/>
      <c r="L8" s="11">
        <v>1165567557</v>
      </c>
      <c r="M8" s="11"/>
      <c r="N8" s="11">
        <v>313.60000000000002</v>
      </c>
      <c r="O8" s="11">
        <v>875000000</v>
      </c>
      <c r="P8" s="12">
        <f t="shared" si="0"/>
        <v>0.20031689959626509</v>
      </c>
      <c r="Q8" s="12">
        <f t="shared" si="1"/>
        <v>6.8952303222176631E-2</v>
      </c>
      <c r="R8" s="12">
        <f t="shared" si="2"/>
        <v>0.13430442649918484</v>
      </c>
      <c r="S8" s="12">
        <f t="shared" si="3"/>
        <v>2.0592454605122441E-2</v>
      </c>
      <c r="T8" s="12">
        <f t="shared" si="4"/>
        <v>0.19313336860606314</v>
      </c>
      <c r="U8" s="13">
        <f t="shared" si="5"/>
        <v>2.377410594409862</v>
      </c>
      <c r="V8" s="13">
        <f t="shared" si="6"/>
        <v>2.3833382539820578</v>
      </c>
      <c r="W8" s="12">
        <f t="shared" si="7"/>
        <v>-6.207391841167751E-2</v>
      </c>
      <c r="X8" s="12">
        <f t="shared" si="8"/>
        <v>0</v>
      </c>
      <c r="Y8" s="13">
        <f t="shared" si="9"/>
        <v>313.60114285714286</v>
      </c>
      <c r="Z8" s="13">
        <f t="shared" si="10"/>
        <v>4.2476796986891446E-3</v>
      </c>
      <c r="AA8" s="13">
        <f t="shared" si="11"/>
        <v>875003188.77551019</v>
      </c>
    </row>
    <row r="9" spans="1:27" x14ac:dyDescent="0.25">
      <c r="A9" s="10" t="s">
        <v>623</v>
      </c>
      <c r="B9" s="11">
        <v>1401267579000</v>
      </c>
      <c r="C9" s="11"/>
      <c r="D9" s="11"/>
      <c r="E9" s="11"/>
      <c r="F9" s="11"/>
      <c r="G9" s="11"/>
      <c r="H9" s="11">
        <v>6750166386000</v>
      </c>
      <c r="I9" s="11">
        <v>34813628193000</v>
      </c>
      <c r="J9" s="11">
        <v>517648489000</v>
      </c>
      <c r="K9" s="11"/>
      <c r="L9" s="11">
        <v>8369305545.1199999</v>
      </c>
      <c r="M9" s="11">
        <v>614943495000</v>
      </c>
      <c r="N9" s="11">
        <v>877.01</v>
      </c>
      <c r="O9" s="11">
        <v>1597778000</v>
      </c>
      <c r="P9" s="12">
        <f t="shared" si="0"/>
        <v>0.20759007983955197</v>
      </c>
      <c r="Q9" s="12">
        <f t="shared" si="1"/>
        <v>4.0250547033812291E-2</v>
      </c>
      <c r="R9" s="12" t="str">
        <f t="shared" si="2"/>
        <v/>
      </c>
      <c r="S9" s="12" t="str">
        <f t="shared" si="3"/>
        <v/>
      </c>
      <c r="T9" s="12" t="str">
        <f t="shared" si="4"/>
        <v/>
      </c>
      <c r="U9" s="13" t="str">
        <f t="shared" si="5"/>
        <v/>
      </c>
      <c r="V9" s="13" t="str">
        <f t="shared" si="6"/>
        <v/>
      </c>
      <c r="W9" s="12">
        <f t="shared" si="7"/>
        <v>0</v>
      </c>
      <c r="X9" s="12">
        <f t="shared" si="8"/>
        <v>0.43884801462319423</v>
      </c>
      <c r="Y9" s="13">
        <f t="shared" si="9"/>
        <v>877.01018476909803</v>
      </c>
      <c r="Z9" s="13">
        <f t="shared" si="10"/>
        <v>5.9726676550189419E-3</v>
      </c>
      <c r="AA9" s="13">
        <f t="shared" si="11"/>
        <v>1597778336.6210191</v>
      </c>
    </row>
    <row r="10" spans="1:27" x14ac:dyDescent="0.25">
      <c r="A10" s="10" t="s">
        <v>624</v>
      </c>
      <c r="B10" s="11">
        <v>102918000</v>
      </c>
      <c r="C10" s="11">
        <v>2454877000</v>
      </c>
      <c r="D10" s="11">
        <v>859291000</v>
      </c>
      <c r="E10" s="11">
        <v>171732000</v>
      </c>
      <c r="F10" s="11"/>
      <c r="G10" s="11">
        <v>281953000</v>
      </c>
      <c r="H10" s="11">
        <v>2028766000</v>
      </c>
      <c r="I10" s="11">
        <v>3318235000</v>
      </c>
      <c r="J10" s="11">
        <v>366706000</v>
      </c>
      <c r="K10" s="11"/>
      <c r="L10" s="11">
        <v>1351088346.77</v>
      </c>
      <c r="M10" s="11"/>
      <c r="N10" s="11">
        <v>2.29</v>
      </c>
      <c r="O10" s="11">
        <v>45005000</v>
      </c>
      <c r="P10" s="12">
        <f t="shared" si="0"/>
        <v>5.0729359620577237E-2</v>
      </c>
      <c r="Q10" s="12">
        <f t="shared" si="1"/>
        <v>3.1015886457710199E-2</v>
      </c>
      <c r="R10" s="12">
        <f t="shared" si="2"/>
        <v>4.1923892724564205E-2</v>
      </c>
      <c r="S10" s="12">
        <f t="shared" si="3"/>
        <v>6.9955439722641913E-2</v>
      </c>
      <c r="T10" s="12">
        <f t="shared" si="4"/>
        <v>0.35003423796793076</v>
      </c>
      <c r="U10" s="13" t="str">
        <f t="shared" si="5"/>
        <v/>
      </c>
      <c r="V10" s="13" t="str">
        <f t="shared" si="6"/>
        <v/>
      </c>
      <c r="W10" s="12">
        <f t="shared" si="7"/>
        <v>0.11770248201607032</v>
      </c>
      <c r="X10" s="12">
        <f t="shared" si="8"/>
        <v>0</v>
      </c>
      <c r="Y10" s="13">
        <f t="shared" si="9"/>
        <v>2.2868125763804024</v>
      </c>
      <c r="Z10" s="13">
        <f t="shared" si="10"/>
        <v>13.127813859286034</v>
      </c>
      <c r="AA10" s="13">
        <f t="shared" si="11"/>
        <v>44942358.078602619</v>
      </c>
    </row>
    <row r="11" spans="1:27" x14ac:dyDescent="0.25">
      <c r="A11" s="10" t="s">
        <v>625</v>
      </c>
      <c r="B11" s="11">
        <v>195182000000</v>
      </c>
      <c r="C11" s="11">
        <v>468526000000</v>
      </c>
      <c r="D11" s="11">
        <v>284790000000</v>
      </c>
      <c r="E11" s="11">
        <v>172615000000</v>
      </c>
      <c r="F11" s="11">
        <v>183125000000</v>
      </c>
      <c r="G11" s="11">
        <v>261026000000</v>
      </c>
      <c r="H11" s="11">
        <v>1540825000000</v>
      </c>
      <c r="I11" s="11">
        <v>3362069000000</v>
      </c>
      <c r="J11" s="11">
        <v>647128000000</v>
      </c>
      <c r="K11" s="11"/>
      <c r="L11" s="11">
        <v>1275096665.6199999</v>
      </c>
      <c r="M11" s="11">
        <v>-224802000000</v>
      </c>
      <c r="N11" s="11">
        <v>238.9</v>
      </c>
      <c r="O11" s="11">
        <v>817000000</v>
      </c>
      <c r="P11" s="12">
        <f t="shared" si="0"/>
        <v>0.1266736975321662</v>
      </c>
      <c r="Q11" s="12">
        <f t="shared" si="1"/>
        <v>5.8054132737906328E-2</v>
      </c>
      <c r="R11" s="12">
        <f t="shared" si="2"/>
        <v>0.41658733987014596</v>
      </c>
      <c r="S11" s="12">
        <f t="shared" si="3"/>
        <v>0.36842138963472676</v>
      </c>
      <c r="T11" s="12">
        <f t="shared" si="4"/>
        <v>0.60784246765387617</v>
      </c>
      <c r="U11" s="13">
        <f t="shared" si="5"/>
        <v>3.5338047781569966</v>
      </c>
      <c r="V11" s="13">
        <f t="shared" si="6"/>
        <v>3.5407677633617474</v>
      </c>
      <c r="W11" s="12">
        <f t="shared" si="7"/>
        <v>0.11930146579931104</v>
      </c>
      <c r="X11" s="12">
        <f t="shared" si="8"/>
        <v>-1.151755797153426</v>
      </c>
      <c r="Y11" s="13">
        <f t="shared" si="9"/>
        <v>238.90085679314566</v>
      </c>
      <c r="Z11" s="13">
        <f t="shared" si="10"/>
        <v>6.5328599236609925E-3</v>
      </c>
      <c r="AA11" s="13">
        <f t="shared" si="11"/>
        <v>817002930.09627461</v>
      </c>
    </row>
    <row r="12" spans="1:27" x14ac:dyDescent="0.25">
      <c r="A12" s="10" t="s">
        <v>626</v>
      </c>
      <c r="B12" s="11">
        <v>153809532000</v>
      </c>
      <c r="C12" s="11">
        <v>699178686000</v>
      </c>
      <c r="D12" s="11">
        <v>186980968000</v>
      </c>
      <c r="E12" s="11">
        <v>0</v>
      </c>
      <c r="F12" s="11">
        <v>62626497000</v>
      </c>
      <c r="G12" s="11">
        <v>51670221000</v>
      </c>
      <c r="H12" s="11">
        <v>717045241000</v>
      </c>
      <c r="I12" s="11">
        <v>1408332054000</v>
      </c>
      <c r="J12" s="11">
        <v>170901205000</v>
      </c>
      <c r="K12" s="11"/>
      <c r="L12" s="11">
        <v>1277828076.24</v>
      </c>
      <c r="M12" s="11"/>
      <c r="N12" s="11">
        <v>263.61</v>
      </c>
      <c r="O12" s="11">
        <v>583481000</v>
      </c>
      <c r="P12" s="12">
        <f t="shared" si="0"/>
        <v>0.21450464099795902</v>
      </c>
      <c r="Q12" s="12">
        <f t="shared" si="1"/>
        <v>0.10921396808596674</v>
      </c>
      <c r="R12" s="12">
        <f t="shared" si="2"/>
        <v>0.2199860137040848</v>
      </c>
      <c r="S12" s="12">
        <f t="shared" si="3"/>
        <v>0</v>
      </c>
      <c r="T12" s="12">
        <f t="shared" si="4"/>
        <v>0.2674294450674945</v>
      </c>
      <c r="U12" s="13">
        <f t="shared" si="5"/>
        <v>2.7288961252295496</v>
      </c>
      <c r="V12" s="13">
        <f t="shared" si="6"/>
        <v>2.7493000778287184</v>
      </c>
      <c r="W12" s="12">
        <f t="shared" si="7"/>
        <v>5.819069520776031E-2</v>
      </c>
      <c r="X12" s="12">
        <f t="shared" si="8"/>
        <v>0</v>
      </c>
      <c r="Y12" s="13">
        <f t="shared" si="9"/>
        <v>263.60675326188857</v>
      </c>
      <c r="Z12" s="13">
        <f t="shared" si="10"/>
        <v>8.3078601151975427E-3</v>
      </c>
      <c r="AA12" s="13">
        <f t="shared" si="11"/>
        <v>583473813.58825541</v>
      </c>
    </row>
    <row r="13" spans="1:27" x14ac:dyDescent="0.25">
      <c r="A13" s="10" t="s">
        <v>627</v>
      </c>
      <c r="B13" s="11">
        <v>1920000000</v>
      </c>
      <c r="C13" s="11">
        <v>31803000000</v>
      </c>
      <c r="D13" s="11">
        <v>13949000000</v>
      </c>
      <c r="E13" s="11">
        <v>3049000000</v>
      </c>
      <c r="F13" s="11">
        <v>3941000000</v>
      </c>
      <c r="G13" s="11">
        <v>12429000000</v>
      </c>
      <c r="H13" s="11">
        <v>6142500000</v>
      </c>
      <c r="I13" s="11">
        <v>46934000000</v>
      </c>
      <c r="J13" s="11">
        <v>9927000000</v>
      </c>
      <c r="K13" s="11"/>
      <c r="L13" s="11">
        <v>91651884307.160004</v>
      </c>
      <c r="M13" s="11"/>
      <c r="N13" s="11">
        <v>37.869999999999997</v>
      </c>
      <c r="O13" s="11">
        <v>50697298</v>
      </c>
      <c r="P13" s="12">
        <f t="shared" si="0"/>
        <v>0.31257631257631258</v>
      </c>
      <c r="Q13" s="12">
        <f t="shared" si="1"/>
        <v>4.0908509822303658E-2</v>
      </c>
      <c r="R13" s="12">
        <f t="shared" si="2"/>
        <v>6.0371663050655597E-2</v>
      </c>
      <c r="S13" s="12">
        <f t="shared" si="3"/>
        <v>9.5871458667421319E-2</v>
      </c>
      <c r="T13" s="12">
        <f t="shared" si="4"/>
        <v>0.43860642077791401</v>
      </c>
      <c r="U13" s="13">
        <f t="shared" si="5"/>
        <v>2.518903831514844</v>
      </c>
      <c r="V13" s="13">
        <f t="shared" si="6"/>
        <v>25.774900864541994</v>
      </c>
      <c r="W13" s="12">
        <f t="shared" si="7"/>
        <v>0.77345281433772051</v>
      </c>
      <c r="X13" s="12">
        <f t="shared" si="8"/>
        <v>0</v>
      </c>
      <c r="Y13" s="13">
        <f t="shared" si="9"/>
        <v>37.871840822759431</v>
      </c>
      <c r="Z13" s="13">
        <f t="shared" si="10"/>
        <v>47.735356409979168</v>
      </c>
      <c r="AA13" s="13">
        <f t="shared" si="11"/>
        <v>50699762.344864011</v>
      </c>
    </row>
    <row r="14" spans="1:27" x14ac:dyDescent="0.25">
      <c r="A14" s="10" t="s">
        <v>628</v>
      </c>
      <c r="B14" s="11">
        <v>619000000</v>
      </c>
      <c r="C14" s="11">
        <v>1876000000</v>
      </c>
      <c r="D14" s="11">
        <v>597000000</v>
      </c>
      <c r="E14" s="11">
        <v>440000000</v>
      </c>
      <c r="F14" s="11">
        <v>782000000</v>
      </c>
      <c r="G14" s="11">
        <v>-12000000</v>
      </c>
      <c r="H14" s="11">
        <v>2845000000</v>
      </c>
      <c r="I14" s="11">
        <v>6345000000</v>
      </c>
      <c r="J14" s="11">
        <v>2079000000</v>
      </c>
      <c r="K14" s="11"/>
      <c r="L14" s="11">
        <v>4364550515.6400003</v>
      </c>
      <c r="M14" s="11">
        <v>-8000000</v>
      </c>
      <c r="N14" s="11"/>
      <c r="O14" s="11"/>
      <c r="P14" s="12">
        <f t="shared" si="0"/>
        <v>0.21757469244288224</v>
      </c>
      <c r="Q14" s="12">
        <f t="shared" si="1"/>
        <v>9.7557131599684793E-2</v>
      </c>
      <c r="R14" s="12">
        <f t="shared" si="2"/>
        <v>0.32995735607675908</v>
      </c>
      <c r="S14" s="12">
        <f t="shared" si="3"/>
        <v>0.23454157782515991</v>
      </c>
      <c r="T14" s="12">
        <f t="shared" si="4"/>
        <v>0.31823027718550106</v>
      </c>
      <c r="U14" s="13">
        <f t="shared" si="5"/>
        <v>2.6585677749360612</v>
      </c>
      <c r="V14" s="13">
        <f t="shared" si="6"/>
        <v>8.239834418976983</v>
      </c>
      <c r="W14" s="12">
        <f t="shared" si="7"/>
        <v>-2.437043054427295E-3</v>
      </c>
      <c r="X14" s="12">
        <f t="shared" si="8"/>
        <v>-1.2924071082390954E-2</v>
      </c>
      <c r="Y14" s="13" t="str">
        <f t="shared" si="9"/>
        <v/>
      </c>
      <c r="Z14" s="13">
        <f t="shared" si="10"/>
        <v>7.0509701383521817</v>
      </c>
      <c r="AA14" s="13" t="str">
        <f t="shared" si="11"/>
        <v/>
      </c>
    </row>
    <row r="15" spans="1:27" x14ac:dyDescent="0.25">
      <c r="A15" s="10" t="s">
        <v>629</v>
      </c>
      <c r="B15" s="11">
        <v>104493377000</v>
      </c>
      <c r="C15" s="11">
        <v>857585866000</v>
      </c>
      <c r="D15" s="11"/>
      <c r="E15" s="11">
        <v>142867195000</v>
      </c>
      <c r="F15" s="11">
        <v>195451317000</v>
      </c>
      <c r="G15" s="11"/>
      <c r="H15" s="11">
        <v>770565673000</v>
      </c>
      <c r="I15" s="11">
        <v>4505842884000</v>
      </c>
      <c r="J15" s="11"/>
      <c r="K15" s="11"/>
      <c r="L15" s="11">
        <v>872182603.05999994</v>
      </c>
      <c r="M15" s="11">
        <v>27962555000</v>
      </c>
      <c r="N15" s="11">
        <v>237.67</v>
      </c>
      <c r="O15" s="11">
        <v>439664000</v>
      </c>
      <c r="P15" s="12">
        <f t="shared" si="0"/>
        <v>0.13560606274242895</v>
      </c>
      <c r="Q15" s="12">
        <f t="shared" si="1"/>
        <v>2.3190639285504213E-2</v>
      </c>
      <c r="R15" s="12">
        <f t="shared" si="2"/>
        <v>0.12184596451826318</v>
      </c>
      <c r="S15" s="12">
        <f t="shared" si="3"/>
        <v>0.16659229199563325</v>
      </c>
      <c r="T15" s="12">
        <f t="shared" si="4"/>
        <v>0</v>
      </c>
      <c r="U15" s="13">
        <f t="shared" si="5"/>
        <v>0</v>
      </c>
      <c r="V15" s="13">
        <f t="shared" si="6"/>
        <v>4.4624033055760889E-3</v>
      </c>
      <c r="W15" s="12">
        <f t="shared" si="7"/>
        <v>0</v>
      </c>
      <c r="X15" s="12">
        <f t="shared" si="8"/>
        <v>0.26760121840066475</v>
      </c>
      <c r="Y15" s="13">
        <f t="shared" si="9"/>
        <v>237.66643846209834</v>
      </c>
      <c r="Z15" s="13">
        <f t="shared" si="10"/>
        <v>8.3467740071220004E-3</v>
      </c>
      <c r="AA15" s="13">
        <f t="shared" si="11"/>
        <v>439657411.53700513</v>
      </c>
    </row>
    <row r="16" spans="1:27" x14ac:dyDescent="0.25">
      <c r="A16" s="10" t="s">
        <v>630</v>
      </c>
      <c r="B16" s="11">
        <v>-170006000000</v>
      </c>
      <c r="C16" s="11"/>
      <c r="D16" s="11"/>
      <c r="E16" s="11"/>
      <c r="F16" s="11"/>
      <c r="G16" s="11">
        <v>1030797000000</v>
      </c>
      <c r="H16" s="11">
        <v>7000187500000</v>
      </c>
      <c r="I16" s="11">
        <v>16622552000000</v>
      </c>
      <c r="J16" s="11">
        <v>5436615000000</v>
      </c>
      <c r="K16" s="11"/>
      <c r="L16" s="11">
        <v>5621125788.2600002</v>
      </c>
      <c r="M16" s="11"/>
      <c r="N16" s="11"/>
      <c r="O16" s="11"/>
      <c r="P16" s="12">
        <f t="shared" si="0"/>
        <v>-2.428592091283269E-2</v>
      </c>
      <c r="Q16" s="12">
        <f t="shared" si="1"/>
        <v>-1.0227430781988229E-2</v>
      </c>
      <c r="R16" s="12" t="str">
        <f t="shared" si="2"/>
        <v/>
      </c>
      <c r="S16" s="12" t="str">
        <f t="shared" si="3"/>
        <v/>
      </c>
      <c r="T16" s="12" t="str">
        <f t="shared" si="4"/>
        <v/>
      </c>
      <c r="U16" s="13" t="str">
        <f t="shared" si="5"/>
        <v/>
      </c>
      <c r="V16" s="13" t="str">
        <f t="shared" si="6"/>
        <v/>
      </c>
      <c r="W16" s="12">
        <f t="shared" si="7"/>
        <v>8.2882798854448325E-2</v>
      </c>
      <c r="X16" s="12">
        <f t="shared" si="8"/>
        <v>0</v>
      </c>
      <c r="Y16" s="13" t="str">
        <f t="shared" si="9"/>
        <v/>
      </c>
      <c r="Z16" s="13">
        <f t="shared" si="10"/>
        <v>-3.3064278838746866E-2</v>
      </c>
      <c r="AA16" s="13" t="str">
        <f t="shared" si="11"/>
        <v/>
      </c>
    </row>
    <row r="17" spans="1:27" x14ac:dyDescent="0.25">
      <c r="A17" s="10" t="s">
        <v>631</v>
      </c>
      <c r="B17" s="11">
        <v>370163706000</v>
      </c>
      <c r="C17" s="11">
        <v>1219766287000</v>
      </c>
      <c r="D17" s="11">
        <v>644526150000</v>
      </c>
      <c r="E17" s="11">
        <v>560299440000</v>
      </c>
      <c r="F17" s="11">
        <v>689965454000</v>
      </c>
      <c r="G17" s="11">
        <v>194355797000</v>
      </c>
      <c r="H17" s="11">
        <v>2048428542000</v>
      </c>
      <c r="I17" s="11">
        <v>3394598260000</v>
      </c>
      <c r="J17" s="11">
        <v>580109631000</v>
      </c>
      <c r="K17" s="11"/>
      <c r="L17" s="11">
        <v>4408168870.7399998</v>
      </c>
      <c r="M17" s="11"/>
      <c r="N17" s="11"/>
      <c r="O17" s="11"/>
      <c r="P17" s="12">
        <f t="shared" si="0"/>
        <v>0.18070618447768144</v>
      </c>
      <c r="Q17" s="12">
        <f t="shared" si="1"/>
        <v>0.10904492303604728</v>
      </c>
      <c r="R17" s="12">
        <f t="shared" si="2"/>
        <v>0.30347100911471575</v>
      </c>
      <c r="S17" s="12">
        <f t="shared" si="3"/>
        <v>0.45934983280940606</v>
      </c>
      <c r="T17" s="12">
        <f t="shared" si="4"/>
        <v>0.52840134775753156</v>
      </c>
      <c r="U17" s="13">
        <f t="shared" si="5"/>
        <v>0.84078069073875694</v>
      </c>
      <c r="V17" s="13">
        <f t="shared" si="6"/>
        <v>0.84716966115051318</v>
      </c>
      <c r="W17" s="12">
        <f t="shared" si="7"/>
        <v>7.3940640846078362E-2</v>
      </c>
      <c r="X17" s="12">
        <f t="shared" si="8"/>
        <v>0</v>
      </c>
      <c r="Y17" s="13" t="str">
        <f t="shared" si="9"/>
        <v/>
      </c>
      <c r="Z17" s="13">
        <f t="shared" si="10"/>
        <v>1.1908700932284268E-2</v>
      </c>
      <c r="AA17" s="13" t="str">
        <f t="shared" si="11"/>
        <v/>
      </c>
    </row>
    <row r="18" spans="1:27" x14ac:dyDescent="0.25">
      <c r="A18" s="10" t="s">
        <v>632</v>
      </c>
      <c r="B18" s="11">
        <v>-826000000</v>
      </c>
      <c r="C18" s="11">
        <v>18448000000</v>
      </c>
      <c r="D18" s="11">
        <v>5100000000</v>
      </c>
      <c r="E18" s="11">
        <v>1740000000</v>
      </c>
      <c r="F18" s="11"/>
      <c r="G18" s="11"/>
      <c r="H18" s="11">
        <v>11233000000</v>
      </c>
      <c r="I18" s="11">
        <v>29439000000</v>
      </c>
      <c r="J18" s="11">
        <v>10581000000</v>
      </c>
      <c r="K18" s="11"/>
      <c r="L18" s="11">
        <v>18445648135.639999</v>
      </c>
      <c r="M18" s="11"/>
      <c r="N18" s="11"/>
      <c r="O18" s="11"/>
      <c r="P18" s="12">
        <f t="shared" si="0"/>
        <v>-7.3533339268227541E-2</v>
      </c>
      <c r="Q18" s="12">
        <f t="shared" si="1"/>
        <v>-2.8058018275077277E-2</v>
      </c>
      <c r="R18" s="12">
        <f t="shared" si="2"/>
        <v>-4.4774501300954034E-2</v>
      </c>
      <c r="S18" s="12">
        <f t="shared" si="3"/>
        <v>9.4319167389418909E-2</v>
      </c>
      <c r="T18" s="12">
        <f t="shared" si="4"/>
        <v>0.2764527320034692</v>
      </c>
      <c r="U18" s="13" t="str">
        <f t="shared" si="5"/>
        <v/>
      </c>
      <c r="V18" s="13" t="str">
        <f t="shared" si="6"/>
        <v/>
      </c>
      <c r="W18" s="12">
        <f t="shared" si="7"/>
        <v>0</v>
      </c>
      <c r="X18" s="12">
        <f t="shared" si="8"/>
        <v>0</v>
      </c>
      <c r="Y18" s="13" t="str">
        <f t="shared" si="9"/>
        <v/>
      </c>
      <c r="Z18" s="13">
        <f t="shared" si="10"/>
        <v>-22.331293142421305</v>
      </c>
      <c r="AA18" s="13" t="str">
        <f t="shared" si="11"/>
        <v/>
      </c>
    </row>
    <row r="19" spans="1:27" x14ac:dyDescent="0.25">
      <c r="P19" s="17">
        <f>+COUNT(P3:P18)/16</f>
        <v>1</v>
      </c>
      <c r="Q19" s="17">
        <f t="shared" ref="Q19:AA19" si="12">+COUNT(Q3:Q18)/16</f>
        <v>1</v>
      </c>
      <c r="R19" s="17">
        <f t="shared" si="12"/>
        <v>0.75</v>
      </c>
      <c r="S19" s="17">
        <f t="shared" si="12"/>
        <v>0.75</v>
      </c>
      <c r="T19" s="17">
        <f t="shared" si="12"/>
        <v>0.75</v>
      </c>
      <c r="U19" s="17">
        <f t="shared" si="12"/>
        <v>0.625</v>
      </c>
      <c r="V19" s="17">
        <f t="shared" si="12"/>
        <v>0.625</v>
      </c>
      <c r="W19" s="17">
        <f t="shared" si="12"/>
        <v>1</v>
      </c>
      <c r="X19" s="17">
        <f t="shared" si="12"/>
        <v>1</v>
      </c>
      <c r="Y19" s="17">
        <f>+COUNT(Y3:Y18)/16</f>
        <v>0.5</v>
      </c>
      <c r="Z19" s="17">
        <f t="shared" si="12"/>
        <v>1</v>
      </c>
      <c r="AA19" s="17">
        <f t="shared" si="12"/>
        <v>0.5</v>
      </c>
    </row>
  </sheetData>
  <mergeCells count="2">
    <mergeCell ref="P1:AA1"/>
    <mergeCell ref="B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CEDEARs</vt:lpstr>
      <vt:lpstr>Only BYMA</vt:lpstr>
      <vt:lpstr>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Monfasani Federico Cesar</cp:lastModifiedBy>
  <cp:lastPrinted>2026-07-14T03:34:45Z</cp:lastPrinted>
  <dcterms:created xsi:type="dcterms:W3CDTF">2026-07-14T03:34:09Z</dcterms:created>
  <dcterms:modified xsi:type="dcterms:W3CDTF">2026-07-14T03:48:04Z</dcterms:modified>
</cp:coreProperties>
</file>