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c81e2cdf9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36985b014444f3e"/>
    <x:sheet xmlns:r="http://schemas.openxmlformats.org/officeDocument/2006/relationships" name="Empresas" sheetId="2" r:id="Ra2d999f678244326"/>
    <x:sheet xmlns:r="http://schemas.openxmlformats.org/officeDocument/2006/relationships" name="Pricing" sheetId="3" r:id="R932dd7e5999f4623"/>
    <x:sheet xmlns:r="http://schemas.openxmlformats.org/officeDocument/2006/relationships" name="Servicios" sheetId="4" r:id="R17ba866b4d644a43"/>
    <x:sheet xmlns:r="http://schemas.openxmlformats.org/officeDocument/2006/relationships" name="Economia" sheetId="5" r:id="R5e7a05d0c74d4a43"/>
    <x:sheet xmlns:r="http://schemas.openxmlformats.org/officeDocument/2006/relationships" name="FODA" sheetId="6" r:id="Reec954a821a64429"/>
    <x:sheet xmlns:r="http://schemas.openxmlformats.org/officeDocument/2006/relationships" name="Datos" sheetId="7" r:id="R4b1f966e72a348d2"/>
    <x:sheet xmlns:r="http://schemas.openxmlformats.org/officeDocument/2006/relationships" name="Estrategia" sheetId="8" r:id="Rc8231bee962049e1"/>
    <x:sheet xmlns:r="http://schemas.openxmlformats.org/officeDocument/2006/relationships" name="Fuentes" sheetId="9" r:id="Rba88886ecf3245a7"/>
    <x:sheet xmlns:r="http://schemas.openxmlformats.org/officeDocument/2006/relationships" name="Supuestos" sheetId="10" r:id="Rd7776f06c1254375"/>
    <x:sheet xmlns:r="http://schemas.openxmlformats.org/officeDocument/2006/relationships" name="Costos" sheetId="11" r:id="Ra9e23a1bb169468f"/>
    <x:sheet xmlns:r="http://schemas.openxmlformats.org/officeDocument/2006/relationships" name="Modelo_Oportunidad" sheetId="12" r:id="Rfe8b3b2b1e67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"/>
    <x:numFmt numFmtId="201" formatCode="0.0"/>
    <x:numFmt numFmtId="202" formatCode="$#,##0.00"/>
    <x:numFmt numFmtId="203" formatCode="$#,##0"/>
    <x:numFmt numFmtId="204" formatCode="0.0%"/>
    <x:numFmt numFmtId="205" formatCode="0.0x"/>
    <x:numFmt numFmtId="206" formatCode="0%"/>
    <x:numFmt numFmtId="207" formatCode="$#,##0.00;[Red]($#,##0.00);-"/>
    <x:numFmt numFmtId="208" formatCode="$#,##0;[Red]($#,##0);-"/>
    <x:numFmt numFmtId="209" formatCode="0.0%;[Red](0.0%);-"/>
    <x:numFmt numFmtId="210" formatCode="0.0x;[Red](0.0x);-"/>
    <x:numFmt numFmtId="211" formatCode="#,##0;[Red](#,##0);-"/>
    <x:numFmt numFmtId="212" formatCode="0%;[Red](0%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 applyAlignment="1">
      <x:alignment vertical="top" wrapText="1"/>
    </x:xf>
    <x:xf numFmtId="206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3" fontId="5" fillId="0" borderId="0" xfId="0" applyNumberFormat="1" applyFont="1" applyFill="1" applyBorder="1" applyAlignment="1">
      <x:alignment vertical="top" wrapText="1"/>
    </x:xf>
    <x:xf numFmtId="203" fontId="5" fillId="0" borderId="1" xfId="0" applyNumberFormat="1" applyFont="1" applyFill="1" applyBorder="1" applyAlignment="1">
      <x:alignment vertical="top" wrapText="1"/>
    </x:xf>
    <x:xf numFmtId="205" fontId="5" fillId="0" borderId="0" xfId="0" applyNumberFormat="1" applyFont="1" applyFill="1" applyBorder="1" applyAlignment="1">
      <x:alignment vertical="top" wrapText="1"/>
    </x:xf>
    <x:xf numFmtId="205" fontId="5" fillId="0" borderId="1" xfId="0" applyNumberFormat="1" applyFont="1" applyFill="1" applyBorder="1" applyAlignment="1">
      <x:alignment vertical="top" wrapText="1"/>
    </x:xf>
    <x:xf numFmtId="207" fontId="4" fillId="0" borderId="0" xfId="0" applyNumberFormat="1" applyFont="1" applyFill="1" applyBorder="1" applyAlignment="1">
      <x:alignment vertical="top" wrapText="1"/>
    </x:xf>
    <x:xf numFmtId="207" fontId="4" fillId="0" borderId="1" xfId="0" applyNumberFormat="1" applyFont="1" applyFill="1" applyBorder="1" applyAlignment="1">
      <x:alignment vertical="top" wrapText="1"/>
    </x:xf>
    <x:xf numFmtId="208" fontId="5" fillId="0" borderId="0" xfId="0" applyNumberFormat="1" applyFont="1" applyFill="1" applyBorder="1" applyAlignment="1">
      <x:alignment vertical="top" wrapText="1"/>
    </x:xf>
    <x:xf numFmtId="208" fontId="5" fillId="0" borderId="1" xfId="0" applyNumberFormat="1" applyFont="1" applyFill="1" applyBorder="1" applyAlignment="1">
      <x:alignment vertical="top" wrapText="1"/>
    </x:xf>
    <x:xf numFmtId="209" fontId="4" fillId="0" borderId="0" xfId="0" applyNumberFormat="1" applyFont="1" applyFill="1" applyBorder="1" applyAlignment="1">
      <x:alignment vertical="top" wrapText="1"/>
    </x:xf>
    <x:xf numFmtId="209" fontId="4" fillId="0" borderId="1" xfId="0" applyNumberFormat="1" applyFont="1" applyFill="1" applyBorder="1" applyAlignment="1">
      <x:alignment vertical="top" wrapText="1"/>
    </x:xf>
    <x:xf numFmtId="208" fontId="4" fillId="0" borderId="0" xfId="0" applyNumberFormat="1" applyFont="1" applyFill="1" applyBorder="1" applyAlignment="1">
      <x:alignment vertical="top" wrapText="1"/>
    </x:xf>
    <x:xf numFmtId="208" fontId="4" fillId="0" borderId="1" xfId="0" applyNumberFormat="1" applyFont="1" applyFill="1" applyBorder="1" applyAlignment="1">
      <x:alignment vertical="top" wrapText="1"/>
    </x:xf>
    <x:xf numFmtId="210" fontId="5" fillId="0" borderId="0" xfId="0" applyNumberFormat="1" applyFont="1" applyFill="1" applyBorder="1" applyAlignment="1">
      <x:alignment vertical="top" wrapText="1"/>
    </x:xf>
    <x:xf numFmtId="210" fontId="5" fillId="0" borderId="1" xfId="0" applyNumberFormat="1" applyFont="1" applyFill="1" applyBorder="1" applyAlignment="1">
      <x:alignment vertical="top" wrapText="1"/>
    </x:xf>
    <x:xf numFmtId="206" fontId="4" fillId="0" borderId="0" xfId="0" applyNumberFormat="1" applyFont="1" applyFill="1" applyBorder="1" applyAlignment="1">
      <x:alignment vertical="top" wrapText="1"/>
    </x:xf>
    <x:xf numFmtId="206" fontId="4" fillId="0" borderId="1" xfId="0" applyNumberFormat="1" applyFont="1" applyFill="1" applyBorder="1" applyAlignment="1">
      <x:alignment vertical="top" wrapText="1"/>
    </x:xf>
    <x:xf numFmtId="211" fontId="4" fillId="0" borderId="0" xfId="0" applyNumberFormat="1" applyFont="1" applyFill="1" applyBorder="1" applyAlignment="1">
      <x:alignment vertical="top" wrapText="1"/>
    </x:xf>
    <x:xf numFmtId="211" fontId="4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11" fontId="5" fillId="0" borderId="0" xfId="0" applyNumberFormat="1" applyFont="1" applyFill="1" applyBorder="1" applyAlignment="1">
      <x:alignment vertical="top" wrapText="1"/>
    </x:xf>
    <x:xf numFmtId="211" fontId="5" fillId="0" borderId="1" xfId="0" applyNumberFormat="1" applyFont="1" applyFill="1" applyBorder="1" applyAlignment="1">
      <x:alignment vertical="top" wrapText="1"/>
    </x:xf>
    <x:xf numFmtId="212" fontId="4" fillId="0" borderId="0" xfId="0" applyNumberFormat="1" applyFont="1" applyFill="1" applyBorder="1" applyAlignment="1">
      <x:alignment vertical="top" wrapText="1"/>
    </x:xf>
    <x:xf numFmtId="212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41e6dc1c744c2" /><Relationship Type="http://schemas.openxmlformats.org/officeDocument/2006/relationships/theme" Target="/xl/theme/theme1.xml" Id="R7047f427ba6741b5" /><Relationship Type="http://schemas.openxmlformats.org/officeDocument/2006/relationships/sharedStrings" Target="/xl/sharedStrings.xml" Id="R1d238bf9b7c3478d" /><Relationship Type="http://schemas.openxmlformats.org/officeDocument/2006/relationships/worksheet" Target="/xl/worksheets/sheet1.xml" Id="R736985b014444f3e" /><Relationship Type="http://schemas.openxmlformats.org/officeDocument/2006/relationships/worksheet" Target="/xl/worksheets/sheet2.xml" Id="Ra2d999f678244326" /><Relationship Type="http://schemas.openxmlformats.org/officeDocument/2006/relationships/worksheet" Target="/xl/worksheets/sheet3.xml" Id="R932dd7e5999f4623" /><Relationship Type="http://schemas.openxmlformats.org/officeDocument/2006/relationships/worksheet" Target="/xl/worksheets/sheet4.xml" Id="R17ba866b4d644a43" /><Relationship Type="http://schemas.openxmlformats.org/officeDocument/2006/relationships/worksheet" Target="/xl/worksheets/sheet5.xml" Id="R5e7a05d0c74d4a43" /><Relationship Type="http://schemas.openxmlformats.org/officeDocument/2006/relationships/worksheet" Target="/xl/worksheets/sheet6.xml" Id="Reec954a821a64429" /><Relationship Type="http://schemas.openxmlformats.org/officeDocument/2006/relationships/worksheet" Target="/xl/worksheets/sheet7.xml" Id="R4b1f966e72a348d2" /><Relationship Type="http://schemas.openxmlformats.org/officeDocument/2006/relationships/worksheet" Target="/xl/worksheets/sheet8.xml" Id="Rc8231bee962049e1" /><Relationship Type="http://schemas.openxmlformats.org/officeDocument/2006/relationships/worksheet" Target="/xl/worksheets/sheet9.xml" Id="Rba88886ecf3245a7" /><Relationship Type="http://schemas.openxmlformats.org/officeDocument/2006/relationships/worksheet" Target="/xl/worksheets/sheet10.xml" Id="Rd7776f06c1254375" /><Relationship Type="http://schemas.openxmlformats.org/officeDocument/2006/relationships/worksheet" Target="/xl/worksheets/sheet11.xml" Id="Ra9e23a1bb169468f" /><Relationship Type="http://schemas.openxmlformats.org/officeDocument/2006/relationships/worksheet" Target="/xl/worksheets/sheet12.xml" Id="Rfe8b3b2b1e6740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637ecfbcae4b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Escala de ingresos / ARR conocidos (heterogéneo)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Métrica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Tipo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'Dashboard'!$F$5:$F$9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Valor ($m)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'Dashboard'!$G$5:$G$9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637ecfbcae4b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aniesTable" displayName="CompaniesTable" ref="A4:Q16" headerRowCount="1" totalsRowCount="0" totalsRowShown="0">
  <x:tableColumns count="17">
    <x:tableColumn id="1" name="Empresa"/>
    <x:tableColumn id="2" name="Segmento"/>
    <x:tableColumn id="3" name="Usuarios / clientes"/>
    <x:tableColumn id="4" name="Escala"/>
    <x:tableColumn id="5" name="Ingresos públicos"/>
    <x:tableColumn id="6" name="ARR/MRR público"/>
    <x:tableColumn id="7" name="Pricing core"/>
    <x:tableColumn id="8" name="Funding"/>
    <x:tableColumn id="9" name="Empleados"/>
    <x:tableColumn id="10" name="API"/>
    <x:tableColumn id="11" name="IA"/>
    <x:tableColumn id="12" name="Portfolio"/>
    <x:tableColumn id="13" name="Mobile"/>
    <x:tableColumn id="14" name="Moat"/>
    <x:tableColumn id="15" name="Riesgo"/>
    <x:tableColumn id="16" name="Fuente"/>
    <x:tableColumn id="17" name="Cal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ingTable" displayName="PricingTable" ref="A4:H16" headerRowCount="1" totalsRowCount="0" totalsRowShown="0">
  <x:tableColumns count="8">
    <x:tableColumn id="1" name="Empresa"/>
    <x:tableColumn id="2" name="Entrada"/>
    <x:tableColumn id="3" name="Pricing"/>
    <x:tableColumn id="4" name="Segmento"/>
    <x:tableColumn id="5" name="Modelo"/>
    <x:tableColumn id="6" name="Principal moat"/>
    <x:tableColumn id="7" name="Portfolio"/>
    <x:tableColumn id="8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DriversTable" displayName="CostDriversTable" ref="A4:H16" headerRowCount="1" totalsRowCount="0" totalsRowShown="0">
  <x:tableColumns count="8">
    <x:tableColumn id="1" name="Empresa"/>
    <x:tableColumn id="2" name="Licencias de datos"/>
    <x:tableColumn id="3" name="Market data"/>
    <x:tableColumn id="4" name="Transcripts/IR"/>
    <x:tableColumn id="5" name="AI inference"/>
    <x:tableColumn id="6" name="Cloud/storage"/>
    <x:tableColumn id="7" name="Personal especializado"/>
    <x:tableColumn id="8" name="Sales &amp; suppor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portunityTable" displayName="OpportunityTable" ref="A4:K9" headerRowCount="1" totalsRowCount="0" totalsRowShown="0">
  <x:tableColumns count="11">
    <x:tableColumn id="1" name="Escenario"/>
    <x:tableColumn id="2" name="Usuarios activos"/>
    <x:tableColumn id="3" name="% pago"/>
    <x:tableColumn id="4" name="Pagos"/>
    <x:tableColumn id="5" name="ARPU ($/mes)"/>
    <x:tableColumn id="6" name="MRR ($)"/>
    <x:tableColumn id="7" name="ARR ($)"/>
    <x:tableColumn id="8" name="Gross margin"/>
    <x:tableColumn id="9" name="Gross profit ARR ($)"/>
    <x:tableColumn id="10" name="CAC ($)"/>
    <x:tableColumn id="11" name="Coment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20de6d28314f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1c0e496ad04f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ff43c664fa47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08be31aaa31d4f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.xml" Id="Rb0064b085a83484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8" hidden="0" customWidth="1"/>
    <x:col min="5" max="5" width="20" hidden="0" customWidth="1"/>
    <x:col min="6" max="6" width="18" hidden="0" customWidth="1"/>
    <x:col min="7" max="7" width="16" hidden="0" customWidth="1"/>
    <x:col min="8" max="8" width="65" hidden="0" customWidth="1"/>
    <x:col min="10" max="10" width="18" hidden="0" customWidth="1"/>
    <x:col min="11" max="11" width="36" hidden="0" customWidth="1"/>
    <x:col min="12" max="12" width="15" hidden="0" customWidth="1"/>
    <x:col min="13" max="13" width="12" hidden="0" customWidth="1"/>
    <x:col min="14" max="14" width="34" hidden="0" customWidth="1"/>
  </x:cols>
  <x:sheetData>
    <x:row r="1" ht="28" customHeight="1">
      <x:c r="A1" s="5" t="str">
        <x:v>Competitive Intelligence — Financial Research Platforms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3" t="str">
        <x:v>KPI</x:v>
      </x:c>
      <x:c r="B4" s="13" t="str">
        <x:v>Valor</x:v>
      </x:c>
      <x:c r="D4" s="13" t="str">
        <x:v>Empresa</x:v>
      </x:c>
      <x:c r="E4" s="13" t="str">
        <x:v>Métrica</x:v>
      </x:c>
      <x:c r="F4" s="13" t="str">
        <x:v>Tipo</x:v>
      </x:c>
      <x:c r="G4" s="13" t="str">
        <x:v>Valor ($m)</x:v>
      </x:c>
      <x:c r="H4" s="13" t="str">
        <x:v>Fuente</x:v>
      </x:c>
      <x:c r="J4" s="13" t="str">
        <x:v>Tema</x:v>
      </x:c>
      <x:c r="K4" s="13" t="str">
        <x:v>Lectura</x:v>
      </x:c>
      <x:c r="L4" s="13" t="str">
        <x:v>Impacto</x:v>
      </x:c>
      <x:c r="M4" s="13" t="str">
        <x:v>Prioridad</x:v>
      </x:c>
      <x:c r="N4" s="13" t="str">
        <x:v>Implicación</x:v>
      </x:c>
    </x:row>
    <x:row r="5">
      <x:c r="A5" s="19" t="str">
        <x:v>TIKR usuarios declarados</x:v>
      </x:c>
      <x:c r="B5" s="22" t="n">
        <x:v>500000</x:v>
      </x:c>
      <x:c r="D5" s="19" t="str">
        <x:v>AlphaSense</x:v>
      </x:c>
      <x:c r="E5" s="19" t="str">
        <x:v>ARR 2026</x:v>
      </x:c>
      <x:c r="F5" s="19" t="str">
        <x:v>Confirmado</x:v>
      </x:c>
      <x:c r="G5" s="26" t="n">
        <x:v>600</x:v>
      </x:c>
      <x:c r="H5" s="19" t="str">
        <x:v>https://www.alpha-sense.com/press/alphasense-raises-350m-at-7-5b-valuation-and-surpasses-600m-in-annual-recurring-revenue/</x:v>
      </x:c>
      <x:c r="J5" s="19" t="str">
        <x:v>Moat de datos</x:v>
      </x:c>
      <x:c r="K5" s="19" t="str">
        <x:v>Muy alto</x:v>
      </x:c>
      <x:c r="L5" s="19" t="str">
        <x:v>Alto</x:v>
      </x:c>
      <x:c r="M5" s="19" t="str">
        <x:v>1</x:v>
      </x:c>
      <x:c r="N5" s="19" t="str">
        <x:v>Licencias + normalización</x:v>
      </x:c>
    </x:row>
    <x:row r="6">
      <x:c r="A6" s="19" t="str">
        <x:v>Koyfin usuarios declarados</x:v>
      </x:c>
      <x:c r="B6" s="22" t="n">
        <x:v>500000</x:v>
      </x:c>
      <x:c r="D6" s="19" t="str">
        <x:v>Quartr</x:v>
      </x:c>
      <x:c r="E6" s="19" t="str">
        <x:v>Revenue 2024</x:v>
      </x:c>
      <x:c r="F6" s="19" t="str">
        <x:v>Fuente externa</x:v>
      </x:c>
      <x:c r="G6" s="26" t="n">
        <x:v>2.12</x:v>
      </x:c>
      <x:c r="H6" s="19" t="str">
        <x:v>https://www.cbinsights.com/company/quartr/financials</x:v>
      </x:c>
      <x:c r="J6" s="19" t="str">
        <x:v>Moat de software</x:v>
      </x:c>
      <x:c r="K6" s="19" t="str">
        <x:v>Medio</x:v>
      </x:c>
      <x:c r="L6" s="19" t="str">
        <x:v>Medio</x:v>
      </x:c>
      <x:c r="M6" s="19" t="str">
        <x:v>3</x:v>
      </x:c>
      <x:c r="N6" s="19" t="str">
        <x:v>Screener/DCF son replicables</x:v>
      </x:c>
    </x:row>
    <x:row r="7">
      <x:c r="A7" s="19" t="str">
        <x:v>Simply Wall St usuarios declarados</x:v>
      </x:c>
      <x:c r="B7" s="22" t="n">
        <x:v>7000000</x:v>
      </x:c>
      <x:c r="D7" s="19" t="str">
        <x:v>Fiscal.ai</x:v>
      </x:c>
      <x:c r="E7" s="19" t="str">
        <x:v>ARR histórico</x:v>
      </x:c>
      <x:c r="F7" s="19" t="str">
        <x:v>Fuente externa</x:v>
      </x:c>
      <x:c r="G7" s="26" t="n">
        <x:v>1</x:v>
      </x:c>
      <x:c r="H7" s="19" t="str">
        <x:v>https://www.starterstory.com/finchat-breakdown</x:v>
      </x:c>
      <x:c r="J7" s="19" t="str">
        <x:v>AI-native</x:v>
      </x:c>
      <x:c r="K7" s="19" t="str">
        <x:v>En transición</x:v>
      </x:c>
      <x:c r="L7" s="19" t="str">
        <x:v>Muy alto</x:v>
      </x:c>
      <x:c r="M7" s="19" t="str">
        <x:v>1</x:v>
      </x:c>
      <x:c r="N7" s="19" t="str">
        <x:v>Quartr/Fiscal/AlphaSense</x:v>
      </x:c>
    </x:row>
    <x:row r="8">
      <x:c r="A8" s="19" t="str">
        <x:v>Quartr instituciones/tech</x:v>
      </x:c>
      <x:c r="B8" s="22" t="n">
        <x:v>800</x:v>
      </x:c>
      <x:c r="D8" s="19" t="str">
        <x:v>Koyfin</x:v>
      </x:c>
      <x:c r="E8" s="19" t="str">
        <x:v>Revenue 2024</x:v>
      </x:c>
      <x:c r="F8" s="19" t="str">
        <x:v>Estimación externa</x:v>
      </x:c>
      <x:c r="G8" s="26" t="n">
        <x:v>4.3</x:v>
      </x:c>
      <x:c r="H8" s="19" t="str">
        <x:v>https://www.lazyweb.com/company/koyfin</x:v>
      </x:c>
      <x:c r="J8" s="19" t="str">
        <x:v>API</x:v>
      </x:c>
      <x:c r="K8" s="19" t="str">
        <x:v>Gap en TIKR</x:v>
      </x:c>
      <x:c r="L8" s="19" t="str">
        <x:v>Muy alto</x:v>
      </x:c>
      <x:c r="M8" s="19" t="str">
        <x:v>1</x:v>
      </x:c>
      <x:c r="N8" s="19" t="str">
        <x:v>TIKR declara no ofrecer API</x:v>
      </x:c>
    </x:row>
    <x:row r="9">
      <x:c r="A9" s="19" t="str">
        <x:v>AlphaSense ARR 2026 ($m)</x:v>
      </x:c>
      <x:c r="B9" s="24" t="n">
        <x:v>600</x:v>
      </x:c>
      <x:c r="D9" s="19" t="str">
        <x:v>GuruFocus</x:v>
      </x:c>
      <x:c r="E9" s="19" t="str">
        <x:v>Premium ARR implícito</x:v>
      </x:c>
      <x:c r="F9" s="19" t="str">
        <x:v>Cálculo</x:v>
      </x:c>
      <x:c r="G9" s="26" t="n">
        <x:v>22.48</x:v>
      </x:c>
      <x:c r="H9" s="19" t="str">
        <x:v>https://www.gurufocus.com/pricing?ROCO%3A3211=&amp;sel=premium</x:v>
      </x:c>
      <x:c r="J9" s="19" t="str">
        <x:v>Portfolio</x:v>
      </x:c>
      <x:c r="K9" s="19" t="str">
        <x:v>Gap relativo</x:v>
      </x:c>
      <x:c r="L9" s="19" t="str">
        <x:v>Alto</x:v>
      </x:c>
      <x:c r="M9" s="19" t="str">
        <x:v>2</x:v>
      </x:c>
      <x:c r="N9" s="19" t="str">
        <x:v>Koyfin/Stock Rover</x:v>
      </x:c>
    </x:row>
    <x:row r="10">
      <x:c r="A10" s="19" t="str">
        <x:v>TIKR Plus ($/mes)</x:v>
      </x:c>
      <x:c r="B10" s="26" t="n">
        <x:v>24.95</x:v>
      </x:c>
      <x:c r="D10" s="19" t="str">
        <x:v>TIKR</x:v>
      </x:c>
      <x:c r="E10" s="19" t="str">
        <x:v>Ingresos</x:v>
      </x:c>
      <x:c r="F10" s="19" t="str">
        <x:v>No publicado</x:v>
      </x:c>
      <x:c r="G10" s="26"/>
      <x:c r="H10" s="19" t="str">
        <x:v>https://www.tikr.com/pricing</x:v>
      </x:c>
      <x:c r="J10" s="19" t="str">
        <x:v>LATAM</x:v>
      </x:c>
      <x:c r="K10" s="19" t="str">
        <x:v>Beachhead</x:v>
      </x:c>
      <x:c r="L10" s="19" t="str">
        <x:v>Alto</x:v>
      </x:c>
      <x:c r="M10" s="19" t="str">
        <x:v>2</x:v>
      </x:c>
      <x:c r="N10" s="19" t="str">
        <x:v>Ventaja de localización</x:v>
      </x:c>
    </x:row>
    <x:row r="11">
      <x:c r="A11" s="19" t="str">
        <x:v>TIKR Ultimate ($/mes)</x:v>
      </x:c>
      <x:c r="B11" s="26" t="n">
        <x:v>119.95</x:v>
      </x:c>
    </x:row>
    <x:row r="13">
      <x:c r="A13" s="31" t="str">
        <x:v>Conclusión: TIKR es fuerte en fundamental research + data depth, pero el espacio de ataque más atractivo es financial data + AI research + portfolio + API. La entrada recomendada es un beachhead con ventaja de datos/localización y luego expansión hacia advisors, funds y API.</x:v>
      </x:c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</x:row>
  </x:sheetData>
  <x:mergeCells>
    <x:mergeCell ref="A1:N2"/>
    <x:mergeCell ref="A13:N16"/>
  </x:mergeCells>
  <x:pageMargins left="0.7" right="0.7" top="0.75" bottom="0.75" header="0.3" footer="0.3"/>
  <x:drawing xmlns:r="http://schemas.openxmlformats.org/officeDocument/2006/relationships" r:id="R9620de6d28314fd1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38" hidden="0" customWidth="1"/>
    <x:col min="5" max="5" width="28" hidden="0" customWidth="1"/>
    <x:col min="6" max="6" width="28" hidden="0" customWidth="1"/>
    <x:col min="7" max="7" width="38" hidden="0" customWidth="1"/>
    <x:col min="8" max="8" width="32" hidden="0" customWidth="1"/>
    <x:col min="9" max="9" width="16" hidden="0" customWidth="1"/>
    <x:col min="10" max="10" width="10" hidden="0" customWidth="1"/>
    <x:col min="11" max="11" width="12" hidden="0" customWidth="1"/>
    <x:col min="12" max="12" width="14" hidden="0" customWidth="1"/>
    <x:col min="13" max="13" width="18" hidden="0" customWidth="1"/>
    <x:col min="14" max="14" width="36" hidden="0" customWidth="1"/>
    <x:col min="15" max="15" width="38" hidden="0" customWidth="1"/>
    <x:col min="16" max="16" width="55" hidden="0" customWidth="1"/>
    <x:col min="17" max="17" width="18" hidden="0" customWidth="1"/>
  </x:cols>
  <x:sheetData>
    <x:row r="1" ht="28" customHeight="1">
      <x:c r="A1" s="5" t="str">
        <x:v>Mapa empresarial y económico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4">
      <x:c r="A4" s="13" t="str">
        <x:v>Empresa</x:v>
      </x:c>
      <x:c r="B4" s="13" t="str">
        <x:v>Segmento</x:v>
      </x:c>
      <x:c r="C4" s="13" t="str">
        <x:v>Usuarios / clientes</x:v>
      </x:c>
      <x:c r="D4" s="13" t="str">
        <x:v>Escala</x:v>
      </x:c>
      <x:c r="E4" s="13" t="str">
        <x:v>Ingresos públicos</x:v>
      </x:c>
      <x:c r="F4" s="13" t="str">
        <x:v>ARR/MRR público</x:v>
      </x:c>
      <x:c r="G4" s="13" t="str">
        <x:v>Pricing core</x:v>
      </x:c>
      <x:c r="H4" s="13" t="str">
        <x:v>Funding</x:v>
      </x:c>
      <x:c r="I4" s="13" t="str">
        <x:v>Empleados</x:v>
      </x:c>
      <x:c r="J4" s="13" t="str">
        <x:v>API</x:v>
      </x:c>
      <x:c r="K4" s="13" t="str">
        <x:v>IA</x:v>
      </x:c>
      <x:c r="L4" s="13" t="str">
        <x:v>Portfolio</x:v>
      </x:c>
      <x:c r="M4" s="13" t="str">
        <x:v>Mobile</x:v>
      </x:c>
      <x:c r="N4" s="13" t="str">
        <x:v>Moat</x:v>
      </x:c>
      <x:c r="O4" s="13" t="str">
        <x:v>Riesgo</x:v>
      </x:c>
      <x:c r="P4" s="13" t="str">
        <x:v>Fuente</x:v>
      </x:c>
      <x:c r="Q4" s="13" t="str">
        <x:v>Calidad</x:v>
      </x:c>
    </x:row>
    <x:row r="5">
      <x:c r="A5" s="19" t="str">
        <x:v>TIKR</x:v>
      </x:c>
      <x:c r="B5" s="19" t="str">
        <x:v>B2C / serious retail</x:v>
      </x:c>
      <x:c r="C5" s="19" t="str">
        <x:v>500k+ inversores (declarado)</x:v>
      </x:c>
      <x:c r="D5" s="19" t="str">
        <x:v>100k+ acciones; 92 países; 136 bolsas</x:v>
      </x:c>
      <x:c r="E5" s="19" t="str">
        <x:v>No publicado</x:v>
      </x:c>
      <x:c r="F5" s="19" t="str">
        <x:v>No publicado</x:v>
      </x:c>
      <x:c r="G5" s="19" t="str">
        <x:v>$24.95 Plus / $54.95 Pro / $119.95 Ultimate</x:v>
      </x:c>
      <x:c r="H5" s="19" t="str">
        <x:v>1 ronda VC identificada (2021; monto no público en fuente consultada)</x:v>
      </x:c>
      <x:c r="I5" s="19" t="str">
        <x:v>11–50</x:v>
      </x:c>
      <x:c r="J5" s="19" t="str">
        <x:v>No</x:v>
      </x:c>
      <x:c r="K5" s="19" t="str">
        <x:v>En desarrollo / no núcleo histórico</x:v>
      </x:c>
      <x:c r="L5" s="19" t="str">
        <x:v>Básico</x:v>
      </x:c>
      <x:c r="M5" s="19" t="str">
        <x:v>Web responsive; sin app dedicada (declarado por soporte)</x:v>
      </x:c>
      <x:c r="N5" s="19" t="str">
        <x:v>Datos licenciados + normalización + SEO + marca</x:v>
      </x:c>
      <x:c r="O5" s="19" t="str">
        <x:v>Dependencia de proveedores de datos; restricciones de distribución</x:v>
      </x:c>
      <x:c r="P5" s="19" t="str">
        <x:v>https://www.tikr.com/pricing</x:v>
      </x:c>
      <x:c r="Q5" s="19" t="str">
        <x:v>Confirmado</x:v>
      </x:c>
    </x:row>
    <x:row r="6">
      <x:c r="A6" s="19" t="str">
        <x:v>Koyfin</x:v>
      </x:c>
      <x:c r="B6" s="19" t="str">
        <x:v>B2C + Advisors + Teams</x:v>
      </x:c>
      <x:c r="C6" s="19" t="str">
        <x:v>500k+ inversores</x:v>
      </x:c>
      <x:c r="D6" s="19" t="str">
        <x:v>50k+ advisors/wealth managers (comunicación de Koyfin); global equities</x:v>
      </x:c>
      <x:c r="E6" s="19" t="str">
        <x:v>~$4.3M revenue 2024 (estimación externa histórica)</x:v>
      </x:c>
      <x:c r="F6" s="19" t="str">
        <x:v>No actual público</x:v>
      </x:c>
      <x:c r="G6" s="19" t="str">
        <x:v>$39 Plus / $79 Premium / $209 Advisor Core / $299 Advisor Pro</x:v>
      </x:c>
      <x:c r="H6" s="19" t="str">
        <x:v>&gt;$6M (2 rondas seed; declarado por Koyfin)</x:v>
      </x:c>
      <x:c r="I6" s="19" t="str">
        <x:v>No confirmado en fuente actual</x:v>
      </x:c>
      <x:c r="J6" s="19" t="str">
        <x:v>No es foco comercial</x:v>
      </x:c>
      <x:c r="K6" s="19" t="str">
        <x:v>Presente, no núcleo principal</x:v>
      </x:c>
      <x:c r="L6" s="19" t="str">
        <x:v>Muy fuerte</x:v>
      </x:c>
      <x:c r="M6" s="19" t="str">
        <x:v>Sí</x:v>
      </x:c>
      <x:c r="N6" s="19" t="str">
        <x:v>Producto + portfolio/advisor workflows + marca</x:v>
      </x:c>
      <x:c r="O6" s="19" t="str">
        <x:v>Competencia AI-native y presión de precios</x:v>
      </x:c>
      <x:c r="P6" s="19" t="str">
        <x:v>https://www.koyfin.com/pricing/plans-comparison/</x:v>
      </x:c>
      <x:c r="Q6" s="19" t="str">
        <x:v>Mixto</x:v>
      </x:c>
    </x:row>
    <x:row r="7">
      <x:c r="A7" s="19" t="str">
        <x:v>Stock Rover</x:v>
      </x:c>
      <x:c r="B7" s="19" t="str">
        <x:v>B2C + professional portfolio</x:v>
      </x:c>
      <x:c r="C7" s="19" t="str">
        <x:v>No publicado de forma comparable</x:v>
      </x:c>
      <x:c r="D7" s="19" t="str">
        <x:v>8,500+ stocks; 7,000+ ETFs; 40,000+ funds; 800+ métricas según plan</x:v>
      </x:c>
      <x:c r="E7" s="19" t="str">
        <x:v>No publicado</x:v>
      </x:c>
      <x:c r="F7" s="19" t="str">
        <x:v>No publicado</x:v>
      </x:c>
      <x:c r="G7" s="19" t="str">
        <x:v>$29 Premium / $49 Premium Plus / $79 Ultimate / $129 Ultimate Pro (anual equivalente)</x:v>
      </x:c>
      <x:c r="H7" s="19" t="str">
        <x:v>No público</x:v>
      </x:c>
      <x:c r="I7" s="19" t="str">
        <x:v>No público</x:v>
      </x:c>
      <x:c r="J7" s="19" t="str">
        <x:v>No es foco</x:v>
      </x:c>
      <x:c r="K7" s="19" t="str">
        <x:v>No es núcleo</x:v>
      </x:c>
      <x:c r="L7" s="19" t="str">
        <x:v>Muy fuerte + broker integrations</x:v>
      </x:c>
      <x:c r="M7" s="19" t="str">
        <x:v>Sí</x:v>
      </x:c>
      <x:c r="N7" s="19" t="str">
        <x:v>Portfolio analytics + screening</x:v>
      </x:c>
      <x:c r="O7" s="19" t="str">
        <x:v>TIKR/Koyfin/AI con mayor profundidad de research</x:v>
      </x:c>
      <x:c r="P7" s="19" t="str">
        <x:v>https://www.stockrover.com/plans/</x:v>
      </x:c>
      <x:c r="Q7" s="19" t="str">
        <x:v>Confirmado</x:v>
      </x:c>
    </x:row>
    <x:row r="8">
      <x:c r="A8" s="19" t="str">
        <x:v>Fiscal.ai (antes FinChat)</x:v>
      </x:c>
      <x:c r="B8" s="19" t="str">
        <x:v>B2C + B2B + data/API</x:v>
      </x:c>
      <x:c r="C8" s="19" t="str">
        <x:v>No público comparable</x:v>
      </x:c>
      <x:c r="D8" s="19" t="str">
        <x:v>Financials, KPIs, estimates, portfolio stats, news, equity research; Enterprise</x:v>
      </x:c>
      <x:c r="E8" s="19" t="str">
        <x:v>~$1M ARR histórico (fuente externa, no auditado)</x:v>
      </x:c>
      <x:c r="F8" s="19" t="str">
        <x:v>~$1M ARR histórico externo</x:v>
      </x:c>
      <x:c r="G8" s="19" t="str">
        <x:v>$39 Pro / $199 Enterprise (publicado)</x:v>
      </x:c>
      <x:c r="H8" s="19" t="str">
        <x:v>No consolidado públicamente en esta investigación</x:v>
      </x:c>
      <x:c r="I8" s="19" t="str">
        <x:v>~12 histórico externo</x:v>
      </x:c>
      <x:c r="J8" s="19" t="str">
        <x:v>Sí / orientación data platform</x:v>
      </x:c>
      <x:c r="K8" s="19" t="str">
        <x:v>Núcleo del producto</x:v>
      </x:c>
      <x:c r="L8" s="19" t="str">
        <x:v>Sí</x:v>
      </x:c>
      <x:c r="M8" s="19" t="str">
        <x:v>Web</x:v>
      </x:c>
      <x:c r="N8" s="19" t="str">
        <x:v>AI + financial data + API</x:v>
      </x:c>
      <x:c r="O8" s="19" t="str">
        <x:v>Costos de datos y competencia de Quartr/AlphaSense</x:v>
      </x:c>
      <x:c r="P8" s="19" t="str">
        <x:v>https://fiscal.ai/pricing/</x:v>
      </x:c>
      <x:c r="Q8" s="19" t="str">
        <x:v>Mixto</x:v>
      </x:c>
    </x:row>
    <x:row r="9">
      <x:c r="A9" s="19" t="str">
        <x:v>Quartr</x:v>
      </x:c>
      <x:c r="B9" s="19" t="str">
        <x:v>B2B + API + Pro</x:v>
      </x:c>
      <x:c r="C9" s="19" t="str">
        <x:v>800+ instituciones/tech (actual 2026)</x:v>
      </x:c>
      <x:c r="D9" s="19" t="str">
        <x:v>15k+ public companies; first-party IR data; API</x:v>
      </x:c>
      <x:c r="E9" s="19" t="str">
        <x:v>$2.12M revenue 2024 (CB Insights)</x:v>
      </x:c>
      <x:c r="F9" s="19" t="str">
        <x:v>No público actual</x:v>
      </x:c>
      <x:c r="G9" s="19" t="str">
        <x:v>Custom / Pro + API</x:v>
      </x:c>
      <x:c r="H9" s="19" t="str">
        <x:v>$18M ronda 2026; total funding ~&gt;$43M en fuentes agregadas</x:v>
      </x:c>
      <x:c r="I9" s="19" t="str">
        <x:v>No público exacto</x:v>
      </x:c>
      <x:c r="J9" s="19" t="str">
        <x:v>Sí, core</x:v>
      </x:c>
      <x:c r="K9" s="19" t="str">
        <x:v>Núcleo</x:v>
      </x:c>
      <x:c r="L9" s="19" t="str">
        <x:v>No es core</x:v>
      </x:c>
      <x:c r="M9" s="19" t="str">
        <x:v>Sí</x:v>
      </x:c>
      <x:c r="N9" s="19" t="str">
        <x:v>First-party IR data + API + AI integrations</x:v>
      </x:c>
      <x:c r="O9" s="19" t="str">
        <x:v>Enterprise sales cycle + data rights</x:v>
      </x:c>
      <x:c r="P9" s="19" t="str">
        <x:v>https://quartr.com/newsroom/press-release/quartr-raises-18m-to-extend-its-global-leadership-in-first-party-ir-data</x:v>
      </x:c>
      <x:c r="Q9" s="19" t="str">
        <x:v>Public/third-party</x:v>
      </x:c>
    </x:row>
    <x:row r="10">
      <x:c r="A10" s="19" t="str">
        <x:v>AlphaSense</x:v>
      </x:c>
      <x:c r="B10" s="19" t="str">
        <x:v>Enterprise</x:v>
      </x:c>
      <x:c r="C10" s="19" t="str">
        <x:v>~7,000+ enterprise customers (fuentes públicas de 2026)</x:v>
      </x:c>
      <x:c r="D10" s="19" t="str">
        <x:v>Market intelligence; enterprise AI</x:v>
      </x:c>
      <x:c r="E10" s="19" t="str">
        <x:v>&gt;$600M ARR en Q1 2026</x:v>
      </x:c>
      <x:c r="F10" s="19" t="str">
        <x:v>&gt;$600M ARR / &gt;$50M MRR equivalente</x:v>
      </x:c>
      <x:c r="G10" s="19" t="str">
        <x:v>Enterprise / custom</x:v>
      </x:c>
      <x:c r="H10" s="19" t="str">
        <x:v>&gt;$1B total funding; $350M 2026 round</x:v>
      </x:c>
      <x:c r="I10" s="19" t="str">
        <x:v>Escala enterprise</x:v>
      </x:c>
      <x:c r="J10" s="19" t="str">
        <x:v>Enterprise integrations</x:v>
      </x:c>
      <x:c r="K10" s="19" t="str">
        <x:v>Núcleo</x:v>
      </x:c>
      <x:c r="L10" s="19" t="str">
        <x:v>No es core</x:v>
      </x:c>
      <x:c r="M10" s="19" t="str">
        <x:v>No es core</x:v>
      </x:c>
      <x:c r="N10" s="19" t="str">
        <x:v>Datos + enterprise distribution + AI + workflow integration</x:v>
      </x:c>
      <x:c r="O10" s="19" t="str">
        <x:v>Coste comercial alto; enterprise concentration</x:v>
      </x:c>
      <x:c r="P10" s="19" t="str">
        <x:v>https://www.alpha-sense.com/press/alphasense-raises-350m-at-7-5b-valuation-and-surpasses-600m-in-annual-recurring-revenue/</x:v>
      </x:c>
      <x:c r="Q10" s="19" t="str">
        <x:v>Public/third-party</x:v>
      </x:c>
    </x:row>
    <x:row r="11">
      <x:c r="A11" s="19" t="str">
        <x:v>Seeking Alpha</x:v>
      </x:c>
      <x:c r="B11" s="19" t="str">
        <x:v>B2C + media/community</x:v>
      </x:c>
      <x:c r="C11" s="19" t="str">
        <x:v>20M visitantes/mes; 2.6M+ newsletter/RTA subscribers; 18k+ analysts</x:v>
      </x:c>
      <x:c r="D11" s="19" t="str">
        <x:v>400 articles/news updates diarios; community</x:v>
      </x:c>
      <x:c r="E11" s="19" t="str">
        <x:v>No publicado</x:v>
      </x:c>
      <x:c r="F11" s="19" t="str">
        <x:v>No publicado</x:v>
      </x:c>
      <x:c r="G11" s="19" t="str">
        <x:v>Premium subscription + ads</x:v>
      </x:c>
      <x:c r="H11" s="19" t="str">
        <x:v>No consolidado en esta investigación</x:v>
      </x:c>
      <x:c r="I11" s="19" t="str">
        <x:v>Multi-country editorial/product/data</x:v>
      </x:c>
      <x:c r="J11" s="19" t="str">
        <x:v>No foco</x:v>
      </x:c>
      <x:c r="K11" s="19" t="str">
        <x:v>Creciente</x:v>
      </x:c>
      <x:c r="L11" s="19" t="str">
        <x:v>Sí</x:v>
      </x:c>
      <x:c r="M11" s="19" t="str">
        <x:v>Sí</x:v>
      </x:c>
      <x:c r="N11" s="19" t="str">
        <x:v>Audience + content + community + SEO</x:v>
      </x:c>
      <x:c r="O11" s="19" t="str">
        <x:v>AI commoditizes generic financial content</x:v>
      </x:c>
      <x:c r="P11" s="19" t="str">
        <x:v>https://about.seekingalpha.com/</x:v>
      </x:c>
      <x:c r="Q11" s="19" t="str">
        <x:v>Confirmado</x:v>
      </x:c>
    </x:row>
    <x:row r="12">
      <x:c r="A12" s="19" t="str">
        <x:v>Simply Wall St</x:v>
      </x:c>
      <x:c r="B12" s="19" t="str">
        <x:v>B2C long-term investor</x:v>
      </x:c>
      <x:c r="C12" s="19" t="str">
        <x:v>7M+ registered users</x:v>
      </x:c>
      <x:c r="D12" s="19" t="str">
        <x:v>120k+ stocks; 90 global markets (support page)</x:v>
      </x:c>
      <x:c r="E12" s="19" t="str">
        <x:v>No publicado</x:v>
      </x:c>
      <x:c r="F12" s="19" t="str">
        <x:v>No publicado</x:v>
      </x:c>
      <x:c r="G12" s="19" t="str">
        <x:v>Suscripción consumer; pricing variable por región/plan</x:v>
      </x:c>
      <x:c r="H12" s="19" t="str">
        <x:v>$600k seed (2015); $2.7M Series A (2017)</x:v>
      </x:c>
      <x:c r="I12" s="19" t="str">
        <x:v>No público actual</x:v>
      </x:c>
      <x:c r="J12" s="19" t="str">
        <x:v>No es foco</x:v>
      </x:c>
      <x:c r="K12" s="19" t="str">
        <x:v>No es núcleo histórico</x:v>
      </x:c>
      <x:c r="L12" s="19" t="str">
        <x:v>Sí</x:v>
      </x:c>
      <x:c r="M12" s="19" t="str">
        <x:v>Sí</x:v>
      </x:c>
      <x:c r="N12" s="19" t="str">
        <x:v>Visual storytelling + SEO + simplified data</x:v>
      </x:c>
      <x:c r="O12" s="19" t="str">
        <x:v>Data vendors + AI visual research competitors</x:v>
      </x:c>
      <x:c r="P12" s="19" t="str">
        <x:v>https://simplywall.st/about</x:v>
      </x:c>
      <x:c r="Q12" s="19" t="str">
        <x:v>Confirmado</x:v>
      </x:c>
    </x:row>
    <x:row r="13">
      <x:c r="A13" s="19" t="str">
        <x:v>GuruFocus</x:v>
      </x:c>
      <x:c r="B13" s="19" t="str">
        <x:v>B2C + professional + data/API</x:v>
      </x:c>
      <x:c r="C13" s="19" t="str">
        <x:v>40,946 premium subscribers; 40k+ daily users (declarado)</x:v>
      </x:c>
      <x:c r="D13" s="19" t="str">
        <x:v>30 years data; 140+ premium gurus; Excel Add-In; API/data products</x:v>
      </x:c>
      <x:c r="E13" s="19" t="str">
        <x:v>No publicado</x:v>
      </x:c>
      <x:c r="F13" s="19" t="str">
        <x:v>Implied Premium ARR at list price ≈ $22.5M (not actual revenue)</x:v>
      </x:c>
      <x:c r="G13" s="19" t="str">
        <x:v>$549/año Premium; regiones adicionales $369 o $549 según región; higher tiers</x:v>
      </x:c>
      <x:c r="H13" s="19" t="str">
        <x:v>No público</x:v>
      </x:c>
      <x:c r="I13" s="19" t="str">
        <x:v>No público</x:v>
      </x:c>
      <x:c r="J13" s="19" t="str">
        <x:v>Sí</x:v>
      </x:c>
      <x:c r="K13" s="19" t="str">
        <x:v>Creciente</x:v>
      </x:c>
      <x:c r="L13" s="19" t="str">
        <x:v>Sí</x:v>
      </x:c>
      <x:c r="M13" s="19" t="str">
        <x:v>Sí/Web</x:v>
      </x:c>
      <x:c r="N13" s="19" t="str">
        <x:v>Value investing brand + proprietary guru datasets + deep history</x:v>
      </x:c>
      <x:c r="O13" s="19" t="str">
        <x:v>Niche positioning + overlap with TIKR/AI</x:v>
      </x:c>
      <x:c r="P13" s="19" t="str">
        <x:v>https://www.gurufocus.com/pricing?ROCO%3A3211=&amp;sel=premium</x:v>
      </x:c>
      <x:c r="Q13" s="19" t="str">
        <x:v>Confirmado</x:v>
      </x:c>
    </x:row>
    <x:row r="14">
      <x:c r="A14" s="19" t="str">
        <x:v>Finviz</x:v>
      </x:c>
      <x:c r="B14" s="19" t="str">
        <x:v>B2C trading/research</x:v>
      </x:c>
      <x:c r="C14" s="19" t="str">
        <x:v>No público comparable</x:v>
      </x:c>
      <x:c r="D14" s="19" t="str">
        <x:v>Screener + charts + portfolios + alerts + real-time; Elite export/API</x:v>
      </x:c>
      <x:c r="E14" s="19" t="str">
        <x:v>No publicado</x:v>
      </x:c>
      <x:c r="F14" s="19" t="str">
        <x:v>No publicado</x:v>
      </x:c>
      <x:c r="G14" s="19" t="str">
        <x:v>$39.50/mes o $299.50/año Elite</x:v>
      </x:c>
      <x:c r="H14" s="19" t="str">
        <x:v>Privada; no público</x:v>
      </x:c>
      <x:c r="I14" s="19" t="str">
        <x:v>No público</x:v>
      </x:c>
      <x:c r="J14" s="19" t="str">
        <x:v>Sí en Elite</x:v>
      </x:c>
      <x:c r="K14" s="19" t="str">
        <x:v>No es núcleo</x:v>
      </x:c>
      <x:c r="L14" s="19" t="str">
        <x:v>Sí</x:v>
      </x:c>
      <x:c r="M14" s="19" t="str">
        <x:v>Web</x:v>
      </x:c>
      <x:c r="N14" s="19" t="str">
        <x:v>Simple UX + brand + screener + SEO</x:v>
      </x:c>
      <x:c r="O14" s="19" t="str">
        <x:v>Commoditization + richer research suites</x:v>
      </x:c>
      <x:c r="P14" s="19" t="str">
        <x:v>https://finviz.com/elite</x:v>
      </x:c>
      <x:c r="Q14" s="19" t="str">
        <x:v>Confirmado</x:v>
      </x:c>
    </x:row>
    <x:row r="15">
      <x:c r="A15" s="19" t="str">
        <x:v>TipRanks</x:v>
      </x:c>
      <x:c r="B15" s="19" t="str">
        <x:v>B2C + B2B brokerage</x:v>
      </x:c>
      <x:c r="C15" s="19" t="str">
        <x:v>4M+ monthly users (2021 source); millions of investors</x:v>
      </x:c>
      <x:c r="D15" s="19" t="str">
        <x:v>7,000+ professional analysts tracked; enterprise clients include financial platforms</x:v>
      </x:c>
      <x:c r="E15" s="19" t="str">
        <x:v>No actual público</x:v>
      </x:c>
      <x:c r="F15" s="19" t="str">
        <x:v>No publicado</x:v>
      </x:c>
      <x:c r="G15" s="19" t="str">
        <x:v>Premium consumer + enterprise custom</x:v>
      </x:c>
      <x:c r="H15" s="19" t="str">
        <x:v>$77M Series B (2021); ~$83.7M total in CB Insights aggregate</x:v>
      </x:c>
      <x:c r="I15" s="19" t="str">
        <x:v>No público</x:v>
      </x:c>
      <x:c r="J15" s="19" t="str">
        <x:v>B2B integrations</x:v>
      </x:c>
      <x:c r="K15" s="19" t="str">
        <x:v>Sí/analytics</x:v>
      </x:c>
      <x:c r="L15" s="19" t="str">
        <x:v>Sí</x:v>
      </x:c>
      <x:c r="M15" s="19" t="str">
        <x:v>Sí</x:v>
      </x:c>
      <x:c r="N15" s="19" t="str">
        <x:v>Alternative datasets + analyst rankings + brokerage distribution</x:v>
      </x:c>
      <x:c r="O15" s="19" t="str">
        <x:v>Data rights + B2B concentration</x:v>
      </x:c>
      <x:c r="P15" s="19" t="str">
        <x:v>https://www.tipranks.com/news/labs/tipranks-receives-77-million-investment-to-support-retail-investor-frenzy</x:v>
      </x:c>
      <x:c r="Q15" s="19" t="str">
        <x:v>Public/third-party</x:v>
      </x:c>
    </x:row>
    <x:row r="16">
      <x:c r="A16" s="19" t="str">
        <x:v>YCharts</x:v>
      </x:c>
      <x:c r="B16" s="19" t="str">
        <x:v>B2B advisors / wealth</x:v>
      </x:c>
      <x:c r="C16" s="19" t="str">
        <x:v>No público comparable</x:v>
      </x:c>
      <x:c r="D16" s="19" t="str">
        <x:v>Research, portfolio, charts, client reporting</x:v>
      </x:c>
      <x:c r="E16" s="19" t="str">
        <x:v>No publicado</x:v>
      </x:c>
      <x:c r="F16" s="19" t="str">
        <x:v>No publicado</x:v>
      </x:c>
      <x:c r="G16" s="19" t="str">
        <x:v>Custom / advisor-focused</x:v>
      </x:c>
      <x:c r="H16" s="19" t="str">
        <x:v>Privada</x:v>
      </x:c>
      <x:c r="I16" s="19" t="str">
        <x:v>No público</x:v>
      </x:c>
      <x:c r="J16" s="19" t="str">
        <x:v>Sí/enterprise integrations</x:v>
      </x:c>
      <x:c r="K16" s="19" t="str">
        <x:v>Creciente</x:v>
      </x:c>
      <x:c r="L16" s="19" t="str">
        <x:v>Fuerte</x:v>
      </x:c>
      <x:c r="M16" s="19" t="str">
        <x:v>Web</x:v>
      </x:c>
      <x:c r="N16" s="19" t="str">
        <x:v>Advisor workflows + reporting + data</x:v>
      </x:c>
      <x:c r="O16" s="19" t="str">
        <x:v>Koyfin/Quartr/AI workflow entrants</x:v>
      </x:c>
      <x:c r="P16" s="19" t="str">
        <x:v>https://ycharts.com/</x:v>
      </x:c>
      <x:c r="Q16" s="19" t="str">
        <x:v>Confirmado</x:v>
      </x:c>
    </x:row>
  </x:sheetData>
  <x:mergeCells>
    <x:mergeCell ref="A1:Q2"/>
  </x:mergeCells>
  <x:pageMargins left="0.7" right="0.7" top="0.75" bottom="0.75" header="0.3" footer="0.3"/>
  <x:tableParts count="1">
    <x:tablePart xmlns:r="http://schemas.openxmlformats.org/officeDocument/2006/relationships" r:id="R5e1c0e496ad04f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8" hidden="0" customWidth="1"/>
    <x:col min="4" max="4" width="24" hidden="0" customWidth="1"/>
    <x:col min="5" max="5" width="18" hidden="0" customWidth="1"/>
    <x:col min="6" max="6" width="36" hidden="0" customWidth="1"/>
    <x:col min="7" max="7" width="16" hidden="0" customWidth="1"/>
    <x:col min="8" max="8" width="55" hidden="0" customWidth="1"/>
  </x:cols>
  <x:sheetData>
    <x:row r="1" ht="28" customHeight="1">
      <x:c r="A1" s="5" t="str">
        <x:v>Pricing y monetización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Empresa</x:v>
      </x:c>
      <x:c r="B4" s="13" t="str">
        <x:v>Entrada</x:v>
      </x:c>
      <x:c r="C4" s="13" t="str">
        <x:v>Pricing</x:v>
      </x:c>
      <x:c r="D4" s="13" t="str">
        <x:v>Segmento</x:v>
      </x:c>
      <x:c r="E4" s="13" t="str">
        <x:v>Modelo</x:v>
      </x:c>
      <x:c r="F4" s="13" t="str">
        <x:v>Principal moat</x:v>
      </x:c>
      <x:c r="G4" s="13" t="str">
        <x:v>Portfolio</x:v>
      </x:c>
      <x:c r="H4" s="13" t="str">
        <x:v>Fuente</x:v>
      </x:c>
    </x:row>
    <x:row r="5">
      <x:c r="A5" s="19" t="str">
        <x:v>TIKR</x:v>
      </x:c>
      <x:c r="B5" s="19" t="str">
        <x:v>Custom/Trial</x:v>
      </x:c>
      <x:c r="C5" s="19" t="str">
        <x:v>$24.95 Plus / $54.95 Pro / $119.95 Ultimate</x:v>
      </x:c>
      <x:c r="D5" s="19" t="str">
        <x:v>B2C / serious retail</x:v>
      </x:c>
      <x:c r="E5" s="19" t="str">
        <x:v>Subscription</x:v>
      </x:c>
      <x:c r="F5" s="19" t="str">
        <x:v>Datos licenciados + normalización + SEO + marca</x:v>
      </x:c>
      <x:c r="G5" s="19" t="str">
        <x:v>Básico</x:v>
      </x:c>
      <x:c r="H5" s="19" t="str">
        <x:v>https://www.tikr.com/pricing</x:v>
      </x:c>
    </x:row>
    <x:row r="6">
      <x:c r="A6" s="19" t="str">
        <x:v>Koyfin</x:v>
      </x:c>
      <x:c r="B6" s="19" t="str">
        <x:v>Custom/Trial</x:v>
      </x:c>
      <x:c r="C6" s="19" t="str">
        <x:v>$39 Plus / $79 Premium / $209 Advisor Core / $299 Advisor Pro</x:v>
      </x:c>
      <x:c r="D6" s="19" t="str">
        <x:v>B2C + Advisors + Teams</x:v>
      </x:c>
      <x:c r="E6" s="19" t="str">
        <x:v>Subscription</x:v>
      </x:c>
      <x:c r="F6" s="19" t="str">
        <x:v>Producto + portfolio/advisor workflows + marca</x:v>
      </x:c>
      <x:c r="G6" s="19" t="str">
        <x:v>Muy fuerte</x:v>
      </x:c>
      <x:c r="H6" s="19" t="str">
        <x:v>https://www.koyfin.com/pricing/plans-comparison/</x:v>
      </x:c>
    </x:row>
    <x:row r="7">
      <x:c r="A7" s="19" t="str">
        <x:v>Stock Rover</x:v>
      </x:c>
      <x:c r="B7" s="19" t="str">
        <x:v>Custom/Trial</x:v>
      </x:c>
      <x:c r="C7" s="19" t="str">
        <x:v>$29 Premium / $49 Premium Plus / $79 Ultimate / $129 Ultimate Pro (anual equivalente)</x:v>
      </x:c>
      <x:c r="D7" s="19" t="str">
        <x:v>B2C + professional portfolio</x:v>
      </x:c>
      <x:c r="E7" s="19" t="str">
        <x:v>Subscription</x:v>
      </x:c>
      <x:c r="F7" s="19" t="str">
        <x:v>Portfolio analytics + screening</x:v>
      </x:c>
      <x:c r="G7" s="19" t="str">
        <x:v>Muy fuerte + broker integrations</x:v>
      </x:c>
      <x:c r="H7" s="19" t="str">
        <x:v>https://www.stockrover.com/plans/</x:v>
      </x:c>
    </x:row>
    <x:row r="8">
      <x:c r="A8" s="19" t="str">
        <x:v>Fiscal.ai (antes FinChat)</x:v>
      </x:c>
      <x:c r="B8" s="19" t="str">
        <x:v>Custom/Trial</x:v>
      </x:c>
      <x:c r="C8" s="19" t="str">
        <x:v>$39 Pro / $199 Enterprise (publicado)</x:v>
      </x:c>
      <x:c r="D8" s="19" t="str">
        <x:v>B2C + B2B + data/API</x:v>
      </x:c>
      <x:c r="E8" s="19" t="str">
        <x:v>Subscription</x:v>
      </x:c>
      <x:c r="F8" s="19" t="str">
        <x:v>AI + financial data + API</x:v>
      </x:c>
      <x:c r="G8" s="19" t="str">
        <x:v>Sí</x:v>
      </x:c>
      <x:c r="H8" s="19" t="str">
        <x:v>https://fiscal.ai/pricing/</x:v>
      </x:c>
    </x:row>
    <x:row r="9">
      <x:c r="A9" s="19" t="str">
        <x:v>Quartr</x:v>
      </x:c>
      <x:c r="B9" s="19" t="str">
        <x:v>Custom/Trial</x:v>
      </x:c>
      <x:c r="C9" s="19" t="str">
        <x:v>Custom / Pro + API</x:v>
      </x:c>
      <x:c r="D9" s="19" t="str">
        <x:v>B2B + API + Pro</x:v>
      </x:c>
      <x:c r="E9" s="19" t="str">
        <x:v>Enterprise/API</x:v>
      </x:c>
      <x:c r="F9" s="19" t="str">
        <x:v>First-party IR data + API + AI integrations</x:v>
      </x:c>
      <x:c r="G9" s="19" t="str">
        <x:v>No es core</x:v>
      </x:c>
      <x:c r="H9" s="19" t="str">
        <x:v>https://quartr.com/newsroom/press-release/quartr-raises-18m-to-extend-its-global-leadership-in-first-party-ir-data</x:v>
      </x:c>
    </x:row>
    <x:row r="10">
      <x:c r="A10" s="19" t="str">
        <x:v>AlphaSense</x:v>
      </x:c>
      <x:c r="B10" s="19" t="str">
        <x:v>Custom/Trial</x:v>
      </x:c>
      <x:c r="C10" s="19" t="str">
        <x:v>Enterprise / custom</x:v>
      </x:c>
      <x:c r="D10" s="19" t="str">
        <x:v>Enterprise</x:v>
      </x:c>
      <x:c r="E10" s="19" t="str">
        <x:v>Enterprise/API</x:v>
      </x:c>
      <x:c r="F10" s="19" t="str">
        <x:v>Datos + enterprise distribution + AI + workflow integration</x:v>
      </x:c>
      <x:c r="G10" s="19" t="str">
        <x:v>No es core</x:v>
      </x:c>
      <x:c r="H10" s="19" t="str">
        <x:v>https://www.alpha-sense.com/press/alphasense-raises-350m-at-7-5b-valuation-and-surpasses-600m-in-annual-recurring-revenue/</x:v>
      </x:c>
    </x:row>
    <x:row r="11">
      <x:c r="A11" s="19" t="str">
        <x:v>Seeking Alpha</x:v>
      </x:c>
      <x:c r="B11" s="19" t="str">
        <x:v>Custom/Trial</x:v>
      </x:c>
      <x:c r="C11" s="19" t="str">
        <x:v>Premium subscription + ads</x:v>
      </x:c>
      <x:c r="D11" s="19" t="str">
        <x:v>B2C + media/community</x:v>
      </x:c>
      <x:c r="E11" s="19" t="str">
        <x:v>Subscription</x:v>
      </x:c>
      <x:c r="F11" s="19" t="str">
        <x:v>Audience + content + community + SEO</x:v>
      </x:c>
      <x:c r="G11" s="19" t="str">
        <x:v>Sí</x:v>
      </x:c>
      <x:c r="H11" s="19" t="str">
        <x:v>https://about.seekingalpha.com/</x:v>
      </x:c>
    </x:row>
    <x:row r="12">
      <x:c r="A12" s="19" t="str">
        <x:v>Simply Wall St</x:v>
      </x:c>
      <x:c r="B12" s="19" t="str">
        <x:v>Custom/Trial</x:v>
      </x:c>
      <x:c r="C12" s="19" t="str">
        <x:v>Suscripción consumer; pricing variable por región/plan</x:v>
      </x:c>
      <x:c r="D12" s="19" t="str">
        <x:v>B2C long-term investor</x:v>
      </x:c>
      <x:c r="E12" s="19" t="str">
        <x:v>Subscription</x:v>
      </x:c>
      <x:c r="F12" s="19" t="str">
        <x:v>Visual storytelling + SEO + simplified data</x:v>
      </x:c>
      <x:c r="G12" s="19" t="str">
        <x:v>Sí</x:v>
      </x:c>
      <x:c r="H12" s="19" t="str">
        <x:v>https://simplywall.st/about</x:v>
      </x:c>
    </x:row>
    <x:row r="13">
      <x:c r="A13" s="19" t="str">
        <x:v>GuruFocus</x:v>
      </x:c>
      <x:c r="B13" s="19" t="str">
        <x:v>Custom/Trial</x:v>
      </x:c>
      <x:c r="C13" s="19" t="str">
        <x:v>$549/año Premium; regiones adicionales $369 o $549 según región; higher tiers</x:v>
      </x:c>
      <x:c r="D13" s="19" t="str">
        <x:v>B2C + professional + data/API</x:v>
      </x:c>
      <x:c r="E13" s="19" t="str">
        <x:v>Subscription</x:v>
      </x:c>
      <x:c r="F13" s="19" t="str">
        <x:v>Value investing brand + proprietary guru datasets + deep history</x:v>
      </x:c>
      <x:c r="G13" s="19" t="str">
        <x:v>Sí</x:v>
      </x:c>
      <x:c r="H13" s="19" t="str">
        <x:v>https://www.gurufocus.com/pricing?ROCO%3A3211=&amp;sel=premium</x:v>
      </x:c>
    </x:row>
    <x:row r="14">
      <x:c r="A14" s="19" t="str">
        <x:v>Finviz</x:v>
      </x:c>
      <x:c r="B14" s="19" t="str">
        <x:v>Custom/Trial</x:v>
      </x:c>
      <x:c r="C14" s="19" t="str">
        <x:v>$39.50/mes o $299.50/año Elite</x:v>
      </x:c>
      <x:c r="D14" s="19" t="str">
        <x:v>B2C trading/research</x:v>
      </x:c>
      <x:c r="E14" s="19" t="str">
        <x:v>Subscription</x:v>
      </x:c>
      <x:c r="F14" s="19" t="str">
        <x:v>Simple UX + brand + screener + SEO</x:v>
      </x:c>
      <x:c r="G14" s="19" t="str">
        <x:v>Sí</x:v>
      </x:c>
      <x:c r="H14" s="19" t="str">
        <x:v>https://finviz.com/elite</x:v>
      </x:c>
    </x:row>
    <x:row r="15">
      <x:c r="A15" s="19" t="str">
        <x:v>TipRanks</x:v>
      </x:c>
      <x:c r="B15" s="19" t="str">
        <x:v>Custom/Trial</x:v>
      </x:c>
      <x:c r="C15" s="19" t="str">
        <x:v>Premium consumer + enterprise custom</x:v>
      </x:c>
      <x:c r="D15" s="19" t="str">
        <x:v>B2C + B2B brokerage</x:v>
      </x:c>
      <x:c r="E15" s="19" t="str">
        <x:v>Enterprise/API</x:v>
      </x:c>
      <x:c r="F15" s="19" t="str">
        <x:v>Alternative datasets + analyst rankings + brokerage distribution</x:v>
      </x:c>
      <x:c r="G15" s="19" t="str">
        <x:v>Sí</x:v>
      </x:c>
      <x:c r="H15" s="19" t="str">
        <x:v>https://www.tipranks.com/news/labs/tipranks-receives-77-million-investment-to-support-retail-investor-frenzy</x:v>
      </x:c>
    </x:row>
    <x:row r="16">
      <x:c r="A16" s="19" t="str">
        <x:v>YCharts</x:v>
      </x:c>
      <x:c r="B16" s="19" t="str">
        <x:v>Custom/Trial</x:v>
      </x:c>
      <x:c r="C16" s="19" t="str">
        <x:v>Custom / advisor-focused</x:v>
      </x:c>
      <x:c r="D16" s="19" t="str">
        <x:v>B2B advisors / wealth</x:v>
      </x:c>
      <x:c r="E16" s="19" t="str">
        <x:v>Enterprise/API</x:v>
      </x:c>
      <x:c r="F16" s="19" t="str">
        <x:v>Advisor workflows + reporting + data</x:v>
      </x:c>
      <x:c r="G16" s="19" t="str">
        <x:v>Fuerte</x:v>
      </x:c>
      <x:c r="H16" s="19" t="str">
        <x:v>https://ycharts.com/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a8ff43c664fa47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5" max="15" width="12" hidden="0" customWidth="1"/>
    <x:col min="16" max="16" width="28" hidden="0" customWidth="1"/>
    <x:col min="17" max="17" width="30" hidden="0" customWidth="1"/>
  </x:cols>
  <x:sheetData>
    <x:row r="1" ht="28" customHeight="1">
      <x:c r="A1" s="5" t="str">
        <x:v>Matriz de servicios — 2 fuerte / 1 sí-básico / 0 no-no observado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>
      <x:c r="A4" s="13" t="str">
        <x:v>Servicio</x:v>
      </x:c>
      <x:c r="B4" s="13" t="str">
        <x:v>TIKR</x:v>
      </x:c>
      <x:c r="C4" s="13" t="str">
        <x:v>Koyfin</x:v>
      </x:c>
      <x:c r="D4" s="13" t="str">
        <x:v>Stock Rover</x:v>
      </x:c>
      <x:c r="E4" s="13" t="str">
        <x:v>Fiscal.ai (antes FinChat)</x:v>
      </x:c>
      <x:c r="F4" s="13" t="str">
        <x:v>Quartr</x:v>
      </x:c>
      <x:c r="G4" s="13" t="str">
        <x:v>AlphaSense</x:v>
      </x:c>
      <x:c r="H4" s="13" t="str">
        <x:v>Seeking Alpha</x:v>
      </x:c>
      <x:c r="I4" s="13" t="str">
        <x:v>Simply Wall St</x:v>
      </x:c>
      <x:c r="J4" s="13" t="str">
        <x:v>GuruFocus</x:v>
      </x:c>
      <x:c r="K4" s="13" t="str">
        <x:v>Finviz</x:v>
      </x:c>
      <x:c r="L4" s="13" t="str">
        <x:v>TipRanks</x:v>
      </x:c>
      <x:c r="M4" s="13" t="str">
        <x:v>YCharts</x:v>
      </x:c>
      <x:c r="O4" s="13" t="str">
        <x:v>Código</x:v>
      </x:c>
      <x:c r="P4" s="13" t="str">
        <x:v>Significado</x:v>
      </x:c>
      <x:c r="Q4" s="13" t="str">
        <x:v>Uso estratégico</x:v>
      </x:c>
    </x:row>
    <x:row r="5">
      <x:c r="A5" s="19" t="str">
        <x:v>Financial statements</x:v>
      </x:c>
      <x:c r="B5" s="19" t="n">
        <x:v>2</x:v>
      </x:c>
      <x:c r="C5" s="19" t="n">
        <x:v>2</x:v>
      </x:c>
      <x:c r="D5" s="19" t="n">
        <x:v>2</x:v>
      </x:c>
      <x:c r="E5" s="19" t="n">
        <x:v>2</x:v>
      </x:c>
      <x:c r="F5" s="19" t="n">
        <x:v>1</x:v>
      </x:c>
      <x:c r="G5" s="19" t="n">
        <x:v>2</x:v>
      </x:c>
      <x:c r="H5" s="19" t="n">
        <x:v>1</x:v>
      </x:c>
      <x:c r="I5" s="19" t="n">
        <x:v>2</x:v>
      </x:c>
      <x:c r="J5" s="19" t="n">
        <x:v>2</x:v>
      </x:c>
      <x:c r="K5" s="19" t="n">
        <x:v>1</x:v>
      </x:c>
      <x:c r="L5" s="19" t="n">
        <x:v>1</x:v>
      </x:c>
      <x:c r="M5" s="19" t="n">
        <x:v>2</x:v>
      </x:c>
      <x:c r="O5" s="19" t="n">
        <x:v>2</x:v>
      </x:c>
      <x:c r="P5" s="19" t="str">
        <x:v>Fuerte / core</x:v>
      </x:c>
      <x:c r="Q5" s="19" t="str">
        <x:v>Diferenciador</x:v>
      </x:c>
    </x:row>
    <x:row r="6">
      <x:c r="A6" s="19" t="str">
        <x:v>Historical fundamentals</x:v>
      </x:c>
      <x:c r="B6" s="19" t="n">
        <x:v>2</x:v>
      </x:c>
      <x:c r="C6" s="19" t="n">
        <x:v>2</x:v>
      </x:c>
      <x:c r="D6" s="19" t="n">
        <x:v>2</x:v>
      </x:c>
      <x:c r="E6" s="19" t="n">
        <x:v>2</x:v>
      </x:c>
      <x:c r="F6" s="19" t="n">
        <x:v>1</x:v>
      </x:c>
      <x:c r="G6" s="19" t="n">
        <x:v>2</x:v>
      </x:c>
      <x:c r="H6" s="19" t="n">
        <x:v>1</x:v>
      </x:c>
      <x:c r="I6" s="19" t="n">
        <x:v>2</x:v>
      </x:c>
      <x:c r="J6" s="19" t="n">
        <x:v>2</x:v>
      </x:c>
      <x:c r="K6" s="19" t="n">
        <x:v>1</x:v>
      </x:c>
      <x:c r="L6" s="19" t="n">
        <x:v>1</x:v>
      </x:c>
      <x:c r="M6" s="19" t="n">
        <x:v>2</x:v>
      </x:c>
      <x:c r="O6" s="19" t="n">
        <x:v>1</x:v>
      </x:c>
      <x:c r="P6" s="19" t="str">
        <x:v>Sí / básico / parcial</x:v>
      </x:c>
      <x:c r="Q6" s="19" t="str">
        <x:v>Paridad</x:v>
      </x:c>
    </x:row>
    <x:row r="7">
      <x:c r="A7" s="19" t="str">
        <x:v>Consensus estimates</x:v>
      </x:c>
      <x:c r="B7" s="19" t="n">
        <x:v>2</x:v>
      </x:c>
      <x:c r="C7" s="19" t="n">
        <x:v>2</x:v>
      </x:c>
      <x:c r="D7" s="19" t="n">
        <x:v>1</x:v>
      </x:c>
      <x:c r="E7" s="19" t="n">
        <x:v>2</x:v>
      </x:c>
      <x:c r="F7" s="19" t="n">
        <x:v>1</x:v>
      </x:c>
      <x:c r="G7" s="19" t="n">
        <x:v>2</x:v>
      </x:c>
      <x:c r="H7" s="19" t="n">
        <x:v>1</x:v>
      </x:c>
      <x:c r="I7" s="19" t="n">
        <x:v>1</x:v>
      </x:c>
      <x:c r="J7" s="19" t="n">
        <x:v>1</x:v>
      </x:c>
      <x:c r="K7" s="19" t="n">
        <x:v>1</x:v>
      </x:c>
      <x:c r="L7" s="19" t="n">
        <x:v>2</x:v>
      </x:c>
      <x:c r="M7" s="19" t="n">
        <x:v>2</x:v>
      </x:c>
      <x:c r="O7" s="19" t="n">
        <x:v>0</x:v>
      </x:c>
      <x:c r="P7" s="19" t="str">
        <x:v>No / no observado</x:v>
      </x:c>
      <x:c r="Q7" s="19" t="str">
        <x:v>Gap potencial</x:v>
      </x:c>
    </x:row>
    <x:row r="8">
      <x:c r="A8" s="19" t="str">
        <x:v>Estimate revisions</x:v>
      </x:c>
      <x:c r="B8" s="19" t="n">
        <x:v>2</x:v>
      </x:c>
      <x:c r="C8" s="19" t="n">
        <x:v>1</x:v>
      </x:c>
      <x:c r="D8" s="19" t="n">
        <x:v>1</x:v>
      </x:c>
      <x:c r="E8" s="19" t="n">
        <x:v>2</x:v>
      </x:c>
      <x:c r="F8" s="19" t="n">
        <x:v>1</x:v>
      </x:c>
      <x:c r="G8" s="19" t="n">
        <x:v>2</x:v>
      </x:c>
      <x:c r="H8" s="19" t="n">
        <x:v>1</x:v>
      </x:c>
      <x:c r="I8" s="19" t="n">
        <x:v>1</x:v>
      </x:c>
      <x:c r="J8" s="19" t="n">
        <x:v>2</x:v>
      </x:c>
      <x:c r="K8" s="19" t="n">
        <x:v>0</x:v>
      </x:c>
      <x:c r="L8" s="19" t="n">
        <x:v>2</x:v>
      </x:c>
      <x:c r="M8" s="19" t="n">
        <x:v>2</x:v>
      </x:c>
      <x:c r="O8" s="19" t="str">
        <x:v>*</x:v>
      </x:c>
      <x:c r="P8" s="19" t="str">
        <x:v>Heurístico</x:v>
      </x:c>
      <x:c r="Q8" s="19" t="str">
        <x:v>Validar antes de PRD</x:v>
      </x:c>
    </x:row>
    <x:row r="9">
      <x:c r="A9" s="19" t="str">
        <x:v>Valuation multiples</x:v>
      </x:c>
      <x:c r="B9" s="19" t="n">
        <x:v>2</x:v>
      </x:c>
      <x:c r="C9" s="19" t="n">
        <x:v>2</x:v>
      </x:c>
      <x:c r="D9" s="19" t="n">
        <x:v>2</x:v>
      </x:c>
      <x:c r="E9" s="19" t="n">
        <x:v>2</x:v>
      </x:c>
      <x:c r="F9" s="19" t="n">
        <x:v>1</x:v>
      </x:c>
      <x:c r="G9" s="19" t="n">
        <x:v>2</x:v>
      </x:c>
      <x:c r="H9" s="19" t="n">
        <x:v>2</x:v>
      </x:c>
      <x:c r="I9" s="19" t="n">
        <x:v>2</x:v>
      </x:c>
      <x:c r="J9" s="19" t="n">
        <x:v>2</x:v>
      </x:c>
      <x:c r="K9" s="19" t="n">
        <x:v>2</x:v>
      </x:c>
      <x:c r="L9" s="19" t="n">
        <x:v>2</x:v>
      </x:c>
      <x:c r="M9" s="19" t="n">
        <x:v>2</x:v>
      </x:c>
    </x:row>
    <x:row r="10">
      <x:c r="A10" s="19" t="str">
        <x:v>DCF / valuation model</x:v>
      </x:c>
      <x:c r="B10" s="19" t="n">
        <x:v>2</x:v>
      </x:c>
      <x:c r="C10" s="19" t="n">
        <x:v>2</x:v>
      </x:c>
      <x:c r="D10" s="19" t="n">
        <x:v>2</x:v>
      </x:c>
      <x:c r="E10" s="19" t="n">
        <x:v>2</x:v>
      </x:c>
      <x:c r="F10" s="19" t="n">
        <x:v>0</x:v>
      </x:c>
      <x:c r="G10" s="19" t="n">
        <x:v>1</x:v>
      </x:c>
      <x:c r="H10" s="19" t="n">
        <x:v>1</x:v>
      </x:c>
      <x:c r="I10" s="19" t="n">
        <x:v>1</x:v>
      </x:c>
      <x:c r="J10" s="19" t="n">
        <x:v>2</x:v>
      </x:c>
      <x:c r="K10" s="19" t="n">
        <x:v>0</x:v>
      </x:c>
      <x:c r="L10" s="19" t="n">
        <x:v>1</x:v>
      </x:c>
      <x:c r="M10" s="19" t="n">
        <x:v>2</x:v>
      </x:c>
    </x:row>
    <x:row r="11">
      <x:c r="A11" s="19" t="str">
        <x:v>Scenario analysis</x:v>
      </x:c>
      <x:c r="B11" s="19" t="n">
        <x:v>2</x:v>
      </x:c>
      <x:c r="C11" s="19" t="n">
        <x:v>1</x:v>
      </x:c>
      <x:c r="D11" s="19" t="n">
        <x:v>2</x:v>
      </x:c>
      <x:c r="E11" s="19" t="n">
        <x:v>2</x:v>
      </x:c>
      <x:c r="F11" s="19" t="n">
        <x:v>1</x:v>
      </x:c>
      <x:c r="G11" s="19" t="n">
        <x:v>2</x:v>
      </x:c>
      <x:c r="H11" s="19" t="n">
        <x:v>1</x:v>
      </x:c>
      <x:c r="I11" s="19" t="n">
        <x:v>1</x:v>
      </x:c>
      <x:c r="J11" s="19" t="n">
        <x:v>2</x:v>
      </x:c>
      <x:c r="K11" s="19" t="n">
        <x:v>0</x:v>
      </x:c>
      <x:c r="L11" s="19" t="n">
        <x:v>1</x:v>
      </x:c>
      <x:c r="M11" s="19" t="n">
        <x:v>2</x:v>
      </x:c>
    </x:row>
    <x:row r="12">
      <x:c r="A12" s="19" t="str">
        <x:v>Screener</x:v>
      </x:c>
      <x:c r="B12" s="19" t="n">
        <x:v>2</x:v>
      </x:c>
      <x:c r="C12" s="19" t="n">
        <x:v>2</x:v>
      </x:c>
      <x:c r="D12" s="19" t="n">
        <x:v>2</x:v>
      </x:c>
      <x:c r="E12" s="19" t="n">
        <x:v>2</x:v>
      </x:c>
      <x:c r="F12" s="19" t="n">
        <x:v>0</x:v>
      </x:c>
      <x:c r="G12" s="19" t="n">
        <x:v>1</x:v>
      </x:c>
      <x:c r="H12" s="19" t="n">
        <x:v>1</x:v>
      </x:c>
      <x:c r="I12" s="19" t="n">
        <x:v>1</x:v>
      </x:c>
      <x:c r="J12" s="19" t="n">
        <x:v>2</x:v>
      </x:c>
      <x:c r="K12" s="19" t="n">
        <x:v>2</x:v>
      </x:c>
      <x:c r="L12" s="19" t="n">
        <x:v>2</x:v>
      </x:c>
      <x:c r="M12" s="19" t="n">
        <x:v>2</x:v>
      </x:c>
    </x:row>
    <x:row r="13">
      <x:c r="A13" s="19" t="str">
        <x:v>Custom formulas</x:v>
      </x:c>
      <x:c r="B13" s="19" t="n">
        <x:v>1</x:v>
      </x:c>
      <x:c r="C13" s="19" t="n">
        <x:v>2</x:v>
      </x:c>
      <x:c r="D13" s="19" t="n">
        <x:v>2</x:v>
      </x:c>
      <x:c r="E13" s="19" t="n">
        <x:v>1</x:v>
      </x:c>
      <x:c r="F13" s="19" t="n">
        <x:v>0</x:v>
      </x:c>
      <x:c r="G13" s="19" t="n">
        <x:v>1</x:v>
      </x:c>
      <x:c r="H13" s="19" t="n">
        <x:v>0</x:v>
      </x:c>
      <x:c r="I13" s="19" t="n">
        <x:v>0</x:v>
      </x:c>
      <x:c r="J13" s="19" t="n">
        <x:v>2</x:v>
      </x:c>
      <x:c r="K13" s="19" t="n">
        <x:v>0</x:v>
      </x:c>
      <x:c r="L13" s="19" t="n">
        <x:v>1</x:v>
      </x:c>
      <x:c r="M13" s="19" t="n">
        <x:v>2</x:v>
      </x:c>
    </x:row>
    <x:row r="14">
      <x:c r="A14" s="19" t="str">
        <x:v>Technical charts</x:v>
      </x:c>
      <x:c r="B14" s="19" t="n">
        <x:v>1</x:v>
      </x:c>
      <x:c r="C14" s="19" t="n">
        <x:v>2</x:v>
      </x:c>
      <x:c r="D14" s="19" t="n">
        <x:v>1</x:v>
      </x:c>
      <x:c r="E14" s="19" t="n">
        <x:v>0</x:v>
      </x:c>
      <x:c r="F14" s="19" t="n">
        <x:v>0</x:v>
      </x:c>
      <x:c r="G14" s="19" t="n">
        <x:v>1</x:v>
      </x:c>
      <x:c r="H14" s="19" t="n">
        <x:v>2</x:v>
      </x:c>
      <x:c r="I14" s="19" t="n">
        <x:v>0</x:v>
      </x:c>
      <x:c r="J14" s="19" t="n">
        <x:v>0</x:v>
      </x:c>
      <x:c r="K14" s="19" t="n">
        <x:v>2</x:v>
      </x:c>
      <x:c r="L14" s="19" t="n">
        <x:v>1</x:v>
      </x:c>
      <x:c r="M14" s="19" t="n">
        <x:v>2</x:v>
      </x:c>
    </x:row>
    <x:row r="15">
      <x:c r="A15" s="19" t="str">
        <x:v>Fundamental charts</x:v>
      </x:c>
      <x:c r="B15" s="19" t="n">
        <x:v>2</x:v>
      </x:c>
      <x:c r="C15" s="19" t="n">
        <x:v>2</x:v>
      </x:c>
      <x:c r="D15" s="19" t="n">
        <x:v>2</x:v>
      </x:c>
      <x:c r="E15" s="19" t="n">
        <x:v>2</x:v>
      </x:c>
      <x:c r="F15" s="19" t="n">
        <x:v>1</x:v>
      </x:c>
      <x:c r="G15" s="19" t="n">
        <x:v>2</x:v>
      </x:c>
      <x:c r="H15" s="19" t="n">
        <x:v>1</x:v>
      </x:c>
      <x:c r="I15" s="19" t="n">
        <x:v>2</x:v>
      </x:c>
      <x:c r="J15" s="19" t="n">
        <x:v>2</x:v>
      </x:c>
      <x:c r="K15" s="19" t="n">
        <x:v>1</x:v>
      </x:c>
      <x:c r="L15" s="19" t="n">
        <x:v>2</x:v>
      </x:c>
      <x:c r="M15" s="19" t="n">
        <x:v>2</x:v>
      </x:c>
    </x:row>
    <x:row r="16">
      <x:c r="A16" s="19" t="str">
        <x:v>Macro</x:v>
      </x:c>
      <x:c r="B16" s="19" t="n">
        <x:v>0</x:v>
      </x:c>
      <x:c r="C16" s="19" t="n">
        <x:v>2</x:v>
      </x:c>
      <x:c r="D16" s="19" t="n">
        <x:v>0</x:v>
      </x:c>
      <x:c r="E16" s="19" t="n">
        <x:v>1</x:v>
      </x:c>
      <x:c r="F16" s="19" t="n">
        <x:v>0</x:v>
      </x:c>
      <x:c r="G16" s="19" t="n">
        <x:v>2</x:v>
      </x:c>
      <x:c r="H16" s="19" t="n">
        <x:v>2</x:v>
      </x:c>
      <x:c r="I16" s="19" t="n">
        <x:v>0</x:v>
      </x:c>
      <x:c r="J16" s="19" t="n">
        <x:v>0</x:v>
      </x:c>
      <x:c r="K16" s="19" t="n">
        <x:v>1</x:v>
      </x:c>
      <x:c r="L16" s="19" t="n">
        <x:v>1</x:v>
      </x:c>
      <x:c r="M16" s="19" t="n">
        <x:v>2</x:v>
      </x:c>
    </x:row>
    <x:row r="17">
      <x:c r="A17" s="19" t="str">
        <x:v>ETF data</x:v>
      </x:c>
      <x:c r="B17" s="19" t="n">
        <x:v>1</x:v>
      </x:c>
      <x:c r="C17" s="19" t="n">
        <x:v>2</x:v>
      </x:c>
      <x:c r="D17" s="19" t="n">
        <x:v>2</x:v>
      </x:c>
      <x:c r="E17" s="19" t="n">
        <x:v>1</x:v>
      </x:c>
      <x:c r="F17" s="19" t="n">
        <x:v>0</x:v>
      </x:c>
      <x:c r="G17" s="19" t="n">
        <x:v>2</x:v>
      </x:c>
      <x:c r="H17" s="19" t="n">
        <x:v>1</x:v>
      </x:c>
      <x:c r="I17" s="19" t="n">
        <x:v>2</x:v>
      </x:c>
      <x:c r="J17" s="19" t="n">
        <x:v>1</x:v>
      </x:c>
      <x:c r="K17" s="19" t="n">
        <x:v>2</x:v>
      </x:c>
      <x:c r="L17" s="19" t="n">
        <x:v>1</x:v>
      </x:c>
      <x:c r="M17" s="19" t="n">
        <x:v>2</x:v>
      </x:c>
    </x:row>
    <x:row r="18">
      <x:c r="A18" s="19" t="str">
        <x:v>Mutual funds</x:v>
      </x:c>
      <x:c r="B18" s="19" t="n">
        <x:v>0</x:v>
      </x:c>
      <x:c r="C18" s="19" t="n">
        <x:v>2</x:v>
      </x:c>
      <x:c r="D18" s="19" t="n">
        <x:v>2</x:v>
      </x:c>
      <x:c r="E18" s="19" t="n">
        <x:v>1</x:v>
      </x:c>
      <x:c r="F18" s="19" t="n">
        <x:v>0</x:v>
      </x:c>
      <x:c r="G18" s="19" t="n">
        <x:v>2</x:v>
      </x:c>
      <x:c r="H18" s="19" t="n">
        <x:v>0</x:v>
      </x:c>
      <x:c r="I18" s="19" t="n">
        <x:v>2</x:v>
      </x:c>
      <x:c r="J18" s="19" t="n">
        <x:v>2</x:v>
      </x:c>
      <x:c r="K18" s="19" t="n">
        <x:v>1</x:v>
      </x:c>
      <x:c r="L18" s="19" t="n">
        <x:v>0</x:v>
      </x:c>
      <x:c r="M18" s="19" t="n">
        <x:v>2</x:v>
      </x:c>
    </x:row>
    <x:row r="19">
      <x:c r="A19" s="19" t="str">
        <x:v>Options</x:v>
      </x:c>
      <x:c r="B19" s="19" t="n">
        <x:v>0</x:v>
      </x:c>
      <x:c r="C19" s="19" t="n">
        <x:v>0</x:v>
      </x:c>
      <x:c r="D19" s="19" t="n">
        <x:v>2</x:v>
      </x:c>
      <x:c r="E19" s="19" t="n">
        <x:v>0</x:v>
      </x:c>
      <x:c r="F19" s="19" t="n">
        <x:v>0</x:v>
      </x:c>
      <x:c r="G19" s="19" t="n">
        <x:v>1</x:v>
      </x:c>
      <x:c r="H19" s="19" t="n">
        <x:v>0</x:v>
      </x:c>
      <x:c r="I19" s="19" t="n">
        <x:v>0</x:v>
      </x:c>
      <x:c r="J19" s="19" t="n">
        <x:v>0</x:v>
      </x:c>
      <x:c r="K19" s="19" t="n">
        <x:v>2</x:v>
      </x:c>
      <x:c r="L19" s="19" t="n">
        <x:v>0</x:v>
      </x:c>
      <x:c r="M19" s="19" t="n">
        <x:v>1</x:v>
      </x:c>
    </x:row>
    <x:row r="20">
      <x:c r="A20" s="19" t="str">
        <x:v>Institutional ownership</x:v>
      </x:c>
      <x:c r="B20" s="19" t="n">
        <x:v>2</x:v>
      </x:c>
      <x:c r="C20" s="19" t="n">
        <x:v>1</x:v>
      </x:c>
      <x:c r="D20" s="19" t="n">
        <x:v>1</x:v>
      </x:c>
      <x:c r="E20" s="19" t="n">
        <x:v>1</x:v>
      </x:c>
      <x:c r="F20" s="19" t="n">
        <x:v>1</x:v>
      </x:c>
      <x:c r="G20" s="19" t="n">
        <x:v>2</x:v>
      </x:c>
      <x:c r="H20" s="19" t="n">
        <x:v>1</x:v>
      </x:c>
      <x:c r="I20" s="19" t="n">
        <x:v>1</x:v>
      </x:c>
      <x:c r="J20" s="19" t="n">
        <x:v>2</x:v>
      </x:c>
      <x:c r="K20" s="19" t="n">
        <x:v>1</x:v>
      </x:c>
      <x:c r="L20" s="19" t="n">
        <x:v>2</x:v>
      </x:c>
      <x:c r="M20" s="19" t="n">
        <x:v>2</x:v>
      </x:c>
    </x:row>
    <x:row r="21">
      <x:c r="A21" s="19" t="str">
        <x:v>Insider trading</x:v>
      </x:c>
      <x:c r="B21" s="19" t="n">
        <x:v>1</x:v>
      </x:c>
      <x:c r="C21" s="19" t="n">
        <x:v>1</x:v>
      </x:c>
      <x:c r="D21" s="19" t="n">
        <x:v>2</x:v>
      </x:c>
      <x:c r="E21" s="19" t="n">
        <x:v>1</x:v>
      </x:c>
      <x:c r="F21" s="19" t="n">
        <x:v>0</x:v>
      </x:c>
      <x:c r="G21" s="19" t="n">
        <x:v>2</x:v>
      </x:c>
      <x:c r="H21" s="19" t="n">
        <x:v>2</x:v>
      </x:c>
      <x:c r="I21" s="19" t="n">
        <x:v>1</x:v>
      </x:c>
      <x:c r="J21" s="19" t="n">
        <x:v>2</x:v>
      </x:c>
      <x:c r="K21" s="19" t="n">
        <x:v>1</x:v>
      </x:c>
      <x:c r="L21" s="19" t="n">
        <x:v>2</x:v>
      </x:c>
      <x:c r="M21" s="19" t="n">
        <x:v>2</x:v>
      </x:c>
    </x:row>
    <x:row r="22">
      <x:c r="A22" s="19" t="str">
        <x:v>Guru portfolios</x:v>
      </x:c>
      <x:c r="B22" s="19" t="n">
        <x:v>2</x:v>
      </x:c>
      <x:c r="C22" s="19" t="n">
        <x:v>0</x:v>
      </x:c>
      <x:c r="D22" s="19" t="n">
        <x:v>1</x:v>
      </x:c>
      <x:c r="E22" s="19" t="n">
        <x:v>0</x:v>
      </x:c>
      <x:c r="F22" s="19" t="n">
        <x:v>0</x:v>
      </x:c>
      <x:c r="G22" s="19" t="n">
        <x:v>0</x:v>
      </x:c>
      <x:c r="H22" s="19" t="n">
        <x:v>0</x:v>
      </x:c>
      <x:c r="I22" s="19" t="n">
        <x:v>0</x:v>
      </x:c>
      <x:c r="J22" s="19" t="n">
        <x:v>2</x:v>
      </x:c>
      <x:c r="K22" s="19" t="n">
        <x:v>0</x:v>
      </x:c>
      <x:c r="L22" s="19" t="n">
        <x:v>0</x:v>
      </x:c>
      <x:c r="M22" s="19" t="n">
        <x:v>0</x:v>
      </x:c>
    </x:row>
    <x:row r="23">
      <x:c r="A23" s="19" t="str">
        <x:v>Filings</x:v>
      </x:c>
      <x:c r="B23" s="19" t="n">
        <x:v>2</x:v>
      </x:c>
      <x:c r="C23" s="19" t="n">
        <x:v>2</x:v>
      </x:c>
      <x:c r="D23" s="19" t="n">
        <x:v>1</x:v>
      </x:c>
      <x:c r="E23" s="19" t="n">
        <x:v>2</x:v>
      </x:c>
      <x:c r="F23" s="19" t="n">
        <x:v>2</x:v>
      </x:c>
      <x:c r="G23" s="19" t="n">
        <x:v>2</x:v>
      </x:c>
      <x:c r="H23" s="19" t="n">
        <x:v>2</x:v>
      </x:c>
      <x:c r="I23" s="19" t="n">
        <x:v>1</x:v>
      </x:c>
      <x:c r="J23" s="19" t="n">
        <x:v>2</x:v>
      </x:c>
      <x:c r="K23" s="19" t="n">
        <x:v>0</x:v>
      </x:c>
      <x:c r="L23" s="19" t="n">
        <x:v>2</x:v>
      </x:c>
      <x:c r="M23" s="19" t="n">
        <x:v>2</x:v>
      </x:c>
    </x:row>
    <x:row r="24">
      <x:c r="A24" s="19" t="str">
        <x:v>Earnings transcripts</x:v>
      </x:c>
      <x:c r="B24" s="19" t="n">
        <x:v>2</x:v>
      </x:c>
      <x:c r="C24" s="19" t="n">
        <x:v>1</x:v>
      </x:c>
      <x:c r="D24" s="19" t="n">
        <x:v>0</x:v>
      </x:c>
      <x:c r="E24" s="19" t="n">
        <x:v>2</x:v>
      </x:c>
      <x:c r="F24" s="19" t="n">
        <x:v>2</x:v>
      </x:c>
      <x:c r="G24" s="19" t="n">
        <x:v>2</x:v>
      </x:c>
      <x:c r="H24" s="19" t="n">
        <x:v>2</x:v>
      </x:c>
      <x:c r="I24" s="19" t="n">
        <x:v>0</x:v>
      </x:c>
      <x:c r="J24" s="19" t="n">
        <x:v>0</x:v>
      </x:c>
      <x:c r="K24" s="19" t="n">
        <x:v>0</x:v>
      </x:c>
      <x:c r="L24" s="19" t="n">
        <x:v>2</x:v>
      </x:c>
      <x:c r="M24" s="19" t="n">
        <x:v>2</x:v>
      </x:c>
    </x:row>
    <x:row r="25">
      <x:c r="A25" s="19" t="str">
        <x:v>Earnings slides</x:v>
      </x:c>
      <x:c r="B25" s="19" t="n">
        <x:v>2</x:v>
      </x:c>
      <x:c r="C25" s="19" t="n">
        <x:v>2</x:v>
      </x:c>
      <x:c r="D25" s="19" t="n">
        <x:v>1</x:v>
      </x:c>
      <x:c r="E25" s="19" t="n">
        <x:v>2</x:v>
      </x:c>
      <x:c r="F25" s="19" t="n">
        <x:v>2</x:v>
      </x:c>
      <x:c r="G25" s="19" t="n">
        <x:v>2</x:v>
      </x:c>
      <x:c r="H25" s="19" t="n">
        <x:v>2</x:v>
      </x:c>
      <x:c r="I25" s="19" t="n">
        <x:v>1</x:v>
      </x:c>
      <x:c r="J25" s="19" t="n">
        <x:v>1</x:v>
      </x:c>
      <x:c r="K25" s="19" t="n">
        <x:v>1</x:v>
      </x:c>
      <x:c r="L25" s="19" t="n">
        <x:v>2</x:v>
      </x:c>
      <x:c r="M25" s="19" t="n">
        <x:v>2</x:v>
      </x:c>
    </x:row>
    <x:row r="26">
      <x:c r="A26" s="19" t="str">
        <x:v>News</x:v>
      </x:c>
      <x:c r="B26" s="19" t="n">
        <x:v>2</x:v>
      </x:c>
      <x:c r="C26" s="19" t="n">
        <x:v>2</x:v>
      </x:c>
      <x:c r="D26" s="19" t="n">
        <x:v>2</x:v>
      </x:c>
      <x:c r="E26" s="19" t="n">
        <x:v>2</x:v>
      </x:c>
      <x:c r="F26" s="19" t="n">
        <x:v>2</x:v>
      </x:c>
      <x:c r="G26" s="19" t="n">
        <x:v>2</x:v>
      </x:c>
      <x:c r="H26" s="19" t="n">
        <x:v>2</x:v>
      </x:c>
      <x:c r="I26" s="19" t="n">
        <x:v>2</x:v>
      </x:c>
      <x:c r="J26" s="19" t="n">
        <x:v>2</x:v>
      </x:c>
      <x:c r="K26" s="19" t="n">
        <x:v>2</x:v>
      </x:c>
      <x:c r="L26" s="19" t="n">
        <x:v>2</x:v>
      </x:c>
      <x:c r="M26" s="19" t="n">
        <x:v>2</x:v>
      </x:c>
    </x:row>
    <x:row r="27">
      <x:c r="A27" s="19" t="str">
        <x:v>Alerts</x:v>
      </x:c>
      <x:c r="B27" s="19" t="n">
        <x:v>2</x:v>
      </x:c>
      <x:c r="C27" s="19" t="n">
        <x:v>2</x:v>
      </x:c>
      <x:c r="D27" s="19" t="n">
        <x:v>2</x:v>
      </x:c>
      <x:c r="E27" s="19" t="n">
        <x:v>2</x:v>
      </x:c>
      <x:c r="F27" s="19" t="n">
        <x:v>2</x:v>
      </x:c>
      <x:c r="G27" s="19" t="n">
        <x:v>2</x:v>
      </x:c>
      <x:c r="H27" s="19" t="n">
        <x:v>2</x:v>
      </x:c>
      <x:c r="I27" s="19" t="n">
        <x:v>1</x:v>
      </x:c>
      <x:c r="J27" s="19" t="n">
        <x:v>2</x:v>
      </x:c>
      <x:c r="K27" s="19" t="n">
        <x:v>2</x:v>
      </x:c>
      <x:c r="L27" s="19" t="n">
        <x:v>2</x:v>
      </x:c>
      <x:c r="M27" s="19" t="n">
        <x:v>2</x:v>
      </x:c>
    </x:row>
    <x:row r="28">
      <x:c r="A28" s="19" t="str">
        <x:v>Watchlists</x:v>
      </x:c>
      <x:c r="B28" s="19" t="n">
        <x:v>2</x:v>
      </x:c>
      <x:c r="C28" s="19" t="n">
        <x:v>2</x:v>
      </x:c>
      <x:c r="D28" s="19" t="n">
        <x:v>2</x:v>
      </x:c>
      <x:c r="E28" s="19" t="n">
        <x:v>2</x:v>
      </x:c>
      <x:c r="F28" s="19" t="n">
        <x:v>2</x:v>
      </x:c>
      <x:c r="G28" s="19" t="n">
        <x:v>2</x:v>
      </x:c>
      <x:c r="H28" s="19" t="n">
        <x:v>2</x:v>
      </x:c>
      <x:c r="I28" s="19" t="n">
        <x:v>2</x:v>
      </x:c>
      <x:c r="J28" s="19" t="n">
        <x:v>2</x:v>
      </x:c>
      <x:c r="K28" s="19" t="n">
        <x:v>2</x:v>
      </x:c>
      <x:c r="L28" s="19" t="n">
        <x:v>2</x:v>
      </x:c>
      <x:c r="M28" s="19" t="n">
        <x:v>2</x:v>
      </x:c>
    </x:row>
    <x:row r="29">
      <x:c r="A29" s="19" t="str">
        <x:v>Portfolio tracking</x:v>
      </x:c>
      <x:c r="B29" s="19" t="n">
        <x:v>1</x:v>
      </x:c>
      <x:c r="C29" s="19" t="n">
        <x:v>2</x:v>
      </x:c>
      <x:c r="D29" s="19" t="n">
        <x:v>2</x:v>
      </x:c>
      <x:c r="E29" s="19" t="n">
        <x:v>1</x:v>
      </x:c>
      <x:c r="F29" s="19" t="n">
        <x:v>0</x:v>
      </x:c>
      <x:c r="G29" s="19" t="n">
        <x:v>1</x:v>
      </x:c>
      <x:c r="H29" s="19" t="n">
        <x:v>2</x:v>
      </x:c>
      <x:c r="I29" s="19" t="n">
        <x:v>2</x:v>
      </x:c>
      <x:c r="J29" s="19" t="n">
        <x:v>2</x:v>
      </x:c>
      <x:c r="K29" s="19" t="n">
        <x:v>1</x:v>
      </x:c>
      <x:c r="L29" s="19" t="n">
        <x:v>2</x:v>
      </x:c>
      <x:c r="M29" s="19" t="n">
        <x:v>2</x:v>
      </x:c>
    </x:row>
    <x:row r="30">
      <x:c r="A30" s="19" t="str">
        <x:v>Cost basis / lots</x:v>
      </x:c>
      <x:c r="B30" s="19" t="n">
        <x:v>0</x:v>
      </x:c>
      <x:c r="C30" s="19" t="n">
        <x:v>2</x:v>
      </x:c>
      <x:c r="D30" s="19" t="n">
        <x:v>2</x:v>
      </x:c>
      <x:c r="E30" s="19" t="n">
        <x:v>0</x:v>
      </x:c>
      <x:c r="F30" s="19" t="n">
        <x:v>0</x:v>
      </x:c>
      <x:c r="G30" s="19" t="n">
        <x:v>0</x:v>
      </x:c>
      <x:c r="H30" s="19" t="n">
        <x:v>1</x:v>
      </x:c>
      <x:c r="I30" s="19" t="n">
        <x:v>1</x:v>
      </x:c>
      <x:c r="J30" s="19" t="n">
        <x:v>0</x:v>
      </x:c>
      <x:c r="K30" s="19" t="n">
        <x:v>1</x:v>
      </x:c>
      <x:c r="L30" s="19" t="n">
        <x:v>1</x:v>
      </x:c>
      <x:c r="M30" s="19" t="n">
        <x:v>2</x:v>
      </x:c>
    </x:row>
    <x:row r="31">
      <x:c r="A31" s="19" t="str">
        <x:v>Broker sync</x:v>
      </x:c>
      <x:c r="B31" s="19" t="n">
        <x:v>0</x:v>
      </x:c>
      <x:c r="C31" s="19" t="n">
        <x:v>2</x:v>
      </x:c>
      <x:c r="D31" s="19" t="n">
        <x:v>2</x:v>
      </x:c>
      <x:c r="E31" s="19" t="n">
        <x:v>0</x:v>
      </x:c>
      <x:c r="F31" s="19" t="n">
        <x:v>0</x:v>
      </x:c>
      <x:c r="G31" s="19" t="n">
        <x:v>1</x:v>
      </x:c>
      <x:c r="H31" s="19" t="n">
        <x:v>0</x:v>
      </x:c>
      <x:c r="I31" s="19" t="n">
        <x:v>0</x:v>
      </x:c>
      <x:c r="J31" s="19" t="n">
        <x:v>0</x:v>
      </x:c>
      <x:c r="K31" s="19" t="n">
        <x:v>1</x:v>
      </x:c>
      <x:c r="L31" s="19" t="n">
        <x:v>1</x:v>
      </x:c>
      <x:c r="M31" s="19" t="n">
        <x:v>2</x:v>
      </x:c>
    </x:row>
    <x:row r="32">
      <x:c r="A32" s="19" t="str">
        <x:v>Client reporting</x:v>
      </x:c>
      <x:c r="B32" s="19" t="n">
        <x:v>0</x:v>
      </x:c>
      <x:c r="C32" s="19" t="n">
        <x:v>2</x:v>
      </x:c>
      <x:c r="D32" s="19" t="n">
        <x:v>0</x:v>
      </x:c>
      <x:c r="E32" s="19" t="n">
        <x:v>0</x:v>
      </x:c>
      <x:c r="F32" s="19" t="n">
        <x:v>0</x:v>
      </x:c>
      <x:c r="G32" s="19" t="n">
        <x:v>2</x:v>
      </x:c>
      <x:c r="H32" s="19" t="n">
        <x:v>0</x:v>
      </x:c>
      <x:c r="I32" s="19" t="n">
        <x:v>0</x:v>
      </x:c>
      <x:c r="J32" s="19" t="n">
        <x:v>1</x:v>
      </x:c>
      <x:c r="K32" s="19" t="n">
        <x:v>0</x:v>
      </x:c>
      <x:c r="L32" s="19" t="n">
        <x:v>0</x:v>
      </x:c>
      <x:c r="M32" s="19" t="n">
        <x:v>2</x:v>
      </x:c>
    </x:row>
    <x:row r="33">
      <x:c r="A33" s="19" t="str">
        <x:v>Model portfolios</x:v>
      </x:c>
      <x:c r="B33" s="19" t="n">
        <x:v>0</x:v>
      </x:c>
      <x:c r="C33" s="19" t="n">
        <x:v>2</x:v>
      </x:c>
      <x:c r="D33" s="19" t="n">
        <x:v>0</x:v>
      </x:c>
      <x:c r="E33" s="19" t="n">
        <x:v>0</x:v>
      </x:c>
      <x:c r="F33" s="19" t="n">
        <x:v>0</x:v>
      </x:c>
      <x:c r="G33" s="19" t="n">
        <x:v>2</x:v>
      </x:c>
      <x:c r="H33" s="19" t="n">
        <x:v>0</x:v>
      </x:c>
      <x:c r="I33" s="19" t="n">
        <x:v>0</x:v>
      </x:c>
      <x:c r="J33" s="19" t="n">
        <x:v>1</x:v>
      </x:c>
      <x:c r="K33" s="19" t="n">
        <x:v>0</x:v>
      </x:c>
      <x:c r="L33" s="19" t="n">
        <x:v>0</x:v>
      </x:c>
      <x:c r="M33" s="19" t="n">
        <x:v>2</x:v>
      </x:c>
    </x:row>
    <x:row r="34">
      <x:c r="A34" s="19" t="str">
        <x:v>PMS integrations</x:v>
      </x:c>
      <x:c r="B34" s="19" t="n">
        <x:v>0</x:v>
      </x:c>
      <x:c r="C34" s="19" t="n">
        <x:v>2</x:v>
      </x:c>
      <x:c r="D34" s="19" t="n">
        <x:v>0</x:v>
      </x:c>
      <x:c r="E34" s="19" t="n">
        <x:v>0</x:v>
      </x:c>
      <x:c r="F34" s="19" t="n">
        <x:v>0</x:v>
      </x:c>
      <x:c r="G34" s="19" t="n">
        <x:v>2</x:v>
      </x:c>
      <x:c r="H34" s="19" t="n">
        <x:v>0</x:v>
      </x:c>
      <x:c r="I34" s="19" t="n">
        <x:v>0</x:v>
      </x:c>
      <x:c r="J34" s="19" t="n">
        <x:v>0</x:v>
      </x:c>
      <x:c r="K34" s="19" t="n">
        <x:v>0</x:v>
      </x:c>
      <x:c r="L34" s="19" t="n">
        <x:v>0</x:v>
      </x:c>
      <x:c r="M34" s="19" t="n">
        <x:v>2</x:v>
      </x:c>
    </x:row>
    <x:row r="35">
      <x:c r="A35" s="19" t="str">
        <x:v>AI copilot</x:v>
      </x:c>
      <x:c r="B35" s="19" t="n">
        <x:v>1</x:v>
      </x:c>
      <x:c r="C35" s="19" t="n">
        <x:v>1</x:v>
      </x:c>
      <x:c r="D35" s="19" t="n">
        <x:v>0</x:v>
      </x:c>
      <x:c r="E35" s="19" t="n">
        <x:v>2</x:v>
      </x:c>
      <x:c r="F35" s="19" t="n">
        <x:v>2</x:v>
      </x:c>
      <x:c r="G35" s="19" t="n">
        <x:v>2</x:v>
      </x:c>
      <x:c r="H35" s="19" t="n">
        <x:v>1</x:v>
      </x:c>
      <x:c r="I35" s="19" t="n">
        <x:v>0</x:v>
      </x:c>
      <x:c r="J35" s="19" t="n">
        <x:v>1</x:v>
      </x:c>
      <x:c r="K35" s="19" t="n">
        <x:v>0</x:v>
      </x:c>
      <x:c r="L35" s="19" t="n">
        <x:v>1</x:v>
      </x:c>
      <x:c r="M35" s="19" t="n">
        <x:v>1</x:v>
      </x:c>
    </x:row>
    <x:row r="36">
      <x:c r="A36" s="19" t="str">
        <x:v>AI research agent</x:v>
      </x:c>
      <x:c r="B36" s="19" t="n">
        <x:v>0</x:v>
      </x:c>
      <x:c r="C36" s="19" t="n">
        <x:v>0</x:v>
      </x:c>
      <x:c r="D36" s="19" t="n">
        <x:v>0</x:v>
      </x:c>
      <x:c r="E36" s="19" t="n">
        <x:v>2</x:v>
      </x:c>
      <x:c r="F36" s="19" t="n">
        <x:v>2</x:v>
      </x:c>
      <x:c r="G36" s="19" t="n">
        <x:v>2</x:v>
      </x:c>
      <x:c r="H36" s="19" t="n">
        <x:v>0</x:v>
      </x:c>
      <x:c r="I36" s="19" t="n">
        <x:v>0</x:v>
      </x:c>
      <x:c r="J36" s="19" t="n">
        <x:v>0</x:v>
      </x:c>
      <x:c r="K36" s="19" t="n">
        <x:v>0</x:v>
      </x:c>
      <x:c r="L36" s="19" t="n">
        <x:v>1</x:v>
      </x:c>
      <x:c r="M36" s="19" t="n">
        <x:v>1</x:v>
      </x:c>
    </x:row>
    <x:row r="37">
      <x:c r="A37" s="19" t="str">
        <x:v>AI summaries</x:v>
      </x:c>
      <x:c r="B37" s="19" t="n">
        <x:v>0</x:v>
      </x:c>
      <x:c r="C37" s="19" t="n">
        <x:v>0</x:v>
      </x:c>
      <x:c r="D37" s="19" t="n">
        <x:v>0</x:v>
      </x:c>
      <x:c r="E37" s="19" t="n">
        <x:v>2</x:v>
      </x:c>
      <x:c r="F37" s="19" t="n">
        <x:v>2</x:v>
      </x:c>
      <x:c r="G37" s="19" t="n">
        <x:v>2</x:v>
      </x:c>
      <x:c r="H37" s="19" t="n">
        <x:v>1</x:v>
      </x:c>
      <x:c r="I37" s="19" t="n">
        <x:v>0</x:v>
      </x:c>
      <x:c r="J37" s="19" t="n">
        <x:v>0</x:v>
      </x:c>
      <x:c r="K37" s="19" t="n">
        <x:v>0</x:v>
      </x:c>
      <x:c r="L37" s="19" t="n">
        <x:v>1</x:v>
      </x:c>
      <x:c r="M37" s="19" t="n">
        <x:v>0</x:v>
      </x:c>
    </x:row>
    <x:row r="38">
      <x:c r="A38" s="19" t="str">
        <x:v>Automation</x:v>
      </x:c>
      <x:c r="B38" s="19" t="n">
        <x:v>0</x:v>
      </x:c>
      <x:c r="C38" s="19" t="n">
        <x:v>1</x:v>
      </x:c>
      <x:c r="D38" s="19" t="n">
        <x:v>0</x:v>
      </x:c>
      <x:c r="E38" s="19" t="n">
        <x:v>0</x:v>
      </x:c>
      <x:c r="F38" s="19" t="n">
        <x:v>2</x:v>
      </x:c>
      <x:c r="G38" s="19" t="n">
        <x:v>2</x:v>
      </x:c>
      <x:c r="H38" s="19" t="n">
        <x:v>0</x:v>
      </x:c>
      <x:c r="I38" s="19" t="n">
        <x:v>0</x:v>
      </x:c>
      <x:c r="J38" s="19" t="n">
        <x:v>0</x:v>
      </x:c>
      <x:c r="K38" s="19" t="n">
        <x:v>0</x:v>
      </x:c>
      <x:c r="L38" s="19" t="n">
        <x:v>0</x:v>
      </x:c>
      <x:c r="M38" s="19" t="n">
        <x:v>0</x:v>
      </x:c>
    </x:row>
    <x:row r="39">
      <x:c r="A39" s="19" t="str">
        <x:v>API</x:v>
      </x:c>
      <x:c r="B39" s="19" t="n">
        <x:v>0</x:v>
      </x:c>
      <x:c r="C39" s="19" t="n">
        <x:v>0</x:v>
      </x:c>
      <x:c r="D39" s="19" t="n">
        <x:v>0</x:v>
      </x:c>
      <x:c r="E39" s="19" t="n">
        <x:v>2</x:v>
      </x:c>
      <x:c r="F39" s="19" t="n">
        <x:v>2</x:v>
      </x:c>
      <x:c r="G39" s="19" t="n">
        <x:v>2</x:v>
      </x:c>
      <x:c r="H39" s="19" t="n">
        <x:v>0</x:v>
      </x:c>
      <x:c r="I39" s="19" t="n">
        <x:v>0</x:v>
      </x:c>
      <x:c r="J39" s="19" t="n">
        <x:v>2</x:v>
      </x:c>
      <x:c r="K39" s="19" t="n">
        <x:v>2</x:v>
      </x:c>
      <x:c r="L39" s="19" t="n">
        <x:v>1</x:v>
      </x:c>
      <x:c r="M39" s="19" t="n">
        <x:v>2</x:v>
      </x:c>
    </x:row>
    <x:row r="40">
      <x:c r="A40" s="19" t="str">
        <x:v>Excel integration</x:v>
      </x:c>
      <x:c r="B40" s="19" t="n">
        <x:v>0</x:v>
      </x:c>
      <x:c r="C40" s="19" t="n">
        <x:v>0</x:v>
      </x:c>
      <x:c r="D40" s="19" t="n">
        <x:v>0</x:v>
      </x:c>
      <x:c r="E40" s="19" t="n">
        <x:v>0</x:v>
      </x:c>
      <x:c r="F40" s="19" t="n">
        <x:v>0</x:v>
      </x:c>
      <x:c r="G40" s="19" t="n">
        <x:v>1</x:v>
      </x:c>
      <x:c r="H40" s="19" t="n">
        <x:v>0</x:v>
      </x:c>
      <x:c r="I40" s="19" t="n">
        <x:v>0</x:v>
      </x:c>
      <x:c r="J40" s="19" t="n">
        <x:v>2</x:v>
      </x:c>
      <x:c r="K40" s="19" t="n">
        <x:v>0</x:v>
      </x:c>
      <x:c r="L40" s="19" t="n">
        <x:v>0</x:v>
      </x:c>
      <x:c r="M40" s="19" t="n">
        <x:v>1</x:v>
      </x:c>
    </x:row>
    <x:row r="41">
      <x:c r="A41" s="19" t="str">
        <x:v>MCP / agent integrations</x:v>
      </x:c>
      <x:c r="B41" s="19" t="n">
        <x:v>0</x:v>
      </x:c>
      <x:c r="C41" s="19" t="n">
        <x:v>2</x:v>
      </x:c>
      <x:c r="D41" s="19" t="n">
        <x:v>1</x:v>
      </x:c>
      <x:c r="E41" s="19" t="n">
        <x:v>0</x:v>
      </x:c>
      <x:c r="F41" s="19" t="n">
        <x:v>2</x:v>
      </x:c>
      <x:c r="G41" s="19" t="n">
        <x:v>2</x:v>
      </x:c>
      <x:c r="H41" s="19" t="n">
        <x:v>2</x:v>
      </x:c>
      <x:c r="I41" s="19" t="n">
        <x:v>1</x:v>
      </x:c>
      <x:c r="J41" s="19" t="n">
        <x:v>0</x:v>
      </x:c>
      <x:c r="K41" s="19" t="n">
        <x:v>1</x:v>
      </x:c>
      <x:c r="L41" s="19" t="n">
        <x:v>2</x:v>
      </x:c>
      <x:c r="M41" s="19" t="n">
        <x:v>0</x:v>
      </x:c>
    </x:row>
    <x:row r="42">
      <x:c r="A42" s="19" t="str">
        <x:v>Mobile app</x:v>
      </x:c>
      <x:c r="B42" s="19" t="n">
        <x:v>1</x:v>
      </x:c>
      <x:c r="C42" s="19" t="n">
        <x:v>1</x:v>
      </x:c>
      <x:c r="D42" s="19" t="n">
        <x:v>0</x:v>
      </x:c>
      <x:c r="E42" s="19" t="n">
        <x:v>1</x:v>
      </x:c>
      <x:c r="F42" s="19" t="n">
        <x:v>1</x:v>
      </x:c>
      <x:c r="G42" s="19" t="n">
        <x:v>0</x:v>
      </x:c>
      <x:c r="H42" s="19" t="n">
        <x:v>2</x:v>
      </x:c>
      <x:c r="I42" s="19" t="n">
        <x:v>1</x:v>
      </x:c>
      <x:c r="J42" s="19" t="n">
        <x:v>1</x:v>
      </x:c>
      <x:c r="K42" s="19" t="n">
        <x:v>0</x:v>
      </x:c>
      <x:c r="L42" s="19" t="n">
        <x:v>2</x:v>
      </x:c>
      <x:c r="M42" s="19" t="n">
        <x:v>0</x:v>
      </x:c>
    </x:row>
    <x:row r="43">
      <x:c r="A43" s="19" t="str">
        <x:v>Community</x:v>
      </x:c>
      <x:c r="B43" s="19" t="n">
        <x:v>2</x:v>
      </x:c>
      <x:c r="C43" s="19" t="n">
        <x:v>2</x:v>
      </x:c>
      <x:c r="D43" s="19" t="n">
        <x:v>2</x:v>
      </x:c>
      <x:c r="E43" s="19" t="n">
        <x:v>2</x:v>
      </x:c>
      <x:c r="F43" s="19" t="n">
        <x:v>1</x:v>
      </x:c>
      <x:c r="G43" s="19" t="n">
        <x:v>2</x:v>
      </x:c>
      <x:c r="H43" s="19" t="n">
        <x:v>2</x:v>
      </x:c>
      <x:c r="I43" s="19" t="n">
        <x:v>2</x:v>
      </x:c>
      <x:c r="J43" s="19" t="n">
        <x:v>2</x:v>
      </x:c>
      <x:c r="K43" s="19" t="n">
        <x:v>2</x:v>
      </x:c>
      <x:c r="L43" s="19" t="n">
        <x:v>2</x:v>
      </x:c>
      <x:c r="M43" s="19" t="n">
        <x:v>2</x:v>
      </x:c>
    </x:row>
    <x:row r="44">
      <x:c r="A44" s="19" t="str">
        <x:v>Content / SEO</x:v>
      </x:c>
      <x:c r="B44" s="19" t="n">
        <x:v>2</x:v>
      </x:c>
      <x:c r="C44" s="19" t="n">
        <x:v>1</x:v>
      </x:c>
      <x:c r="D44" s="19" t="n">
        <x:v>1</x:v>
      </x:c>
      <x:c r="E44" s="19" t="n">
        <x:v>1</x:v>
      </x:c>
      <x:c r="F44" s="19" t="n">
        <x:v>0</x:v>
      </x:c>
      <x:c r="G44" s="19" t="n">
        <x:v>0</x:v>
      </x:c>
      <x:c r="H44" s="19" t="n">
        <x:v>0</x:v>
      </x:c>
      <x:c r="I44" s="19" t="n">
        <x:v>0</x:v>
      </x:c>
      <x:c r="J44" s="19" t="n">
        <x:v>0</x:v>
      </x:c>
      <x:c r="K44" s="19" t="n">
        <x:v>0</x:v>
      </x:c>
      <x:c r="L44" s="19" t="n">
        <x:v>1</x:v>
      </x:c>
      <x:c r="M44" s="19" t="n">
        <x:v>0</x:v>
      </x:c>
    </x:row>
    <x:row r="45">
      <x:c r="A45" s="19" t="str">
        <x:v>Affiliate program</x:v>
      </x:c>
      <x:c r="B45" s="19" t="n">
        <x:v>1</x:v>
      </x:c>
      <x:c r="C45" s="19" t="n">
        <x:v>1</x:v>
      </x:c>
      <x:c r="D45" s="19" t="n">
        <x:v>1</x:v>
      </x:c>
      <x:c r="E45" s="19" t="n">
        <x:v>1</x:v>
      </x:c>
      <x:c r="F45" s="19" t="n">
        <x:v>0</x:v>
      </x:c>
      <x:c r="G45" s="19" t="n">
        <x:v>0</x:v>
      </x:c>
      <x:c r="H45" s="19" t="n">
        <x:v>1</x:v>
      </x:c>
      <x:c r="I45" s="19" t="n">
        <x:v>1</x:v>
      </x:c>
      <x:c r="J45" s="19" t="n">
        <x:v>1</x:v>
      </x:c>
      <x:c r="K45" s="19" t="n">
        <x:v>0</x:v>
      </x:c>
      <x:c r="L45" s="19" t="n">
        <x:v>1</x:v>
      </x:c>
      <x:c r="M45" s="19" t="n">
        <x:v>0</x:v>
      </x:c>
    </x:row>
  </x:sheetData>
  <x:mergeCells>
    <x:mergeCell ref="A1:M2"/>
  </x:mergeCells>
  <x:conditionalFormatting sqref="B5:M4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6" hidden="0" customWidth="1"/>
    <x:col min="13" max="13" width="12" hidden="0" customWidth="1"/>
    <x:col min="15" max="15" width="24" hidden="0" customWidth="1"/>
    <x:col min="16" max="16" width="36" hidden="0" customWidth="1"/>
    <x:col min="17" max="17" width="16" hidden="0" customWidth="1"/>
    <x:col min="18" max="18" width="32" hidden="0" customWidth="1"/>
    <x:col min="19" max="19" width="25" hidden="0" customWidth="1"/>
  </x:cols>
  <x:sheetData>
    <x:row r="1" ht="28" customHeight="1">
      <x:c r="A1" s="5" t="str">
        <x:v>Economía: hechos públicos + escenarios hipotéticos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>
      <x:c r="A4" s="13" t="str">
        <x:v>Empresa</x:v>
      </x:c>
      <x:c r="B4" s="13" t="str">
        <x:v>Usuarios/clientes base</x:v>
      </x:c>
      <x:c r="C4" s="13" t="str">
        <x:v>Tipo base</x:v>
      </x:c>
      <x:c r="D4" s="13" t="str">
        <x:v>Ingresos/ARR conocido ($m)</x:v>
      </x:c>
      <x:c r="E4" s="13" t="str">
        <x:v>ARPU asumido ($/mes)</x:v>
      </x:c>
      <x:c r="F4" s="13" t="str">
        <x:v>Clientes pagos / modelados</x:v>
      </x:c>
      <x:c r="G4" s="13" t="str">
        <x:v>MRR escenario ($)</x:v>
      </x:c>
      <x:c r="H4" s="13" t="str">
        <x:v>ARR escenario ($)</x:v>
      </x:c>
      <x:c r="I4" s="13" t="str">
        <x:v>Gross margin asumido</x:v>
      </x:c>
      <x:c r="J4" s="13" t="str">
        <x:v>Churn mensual asumido</x:v>
      </x:c>
      <x:c r="K4" s="13" t="str">
        <x:v>LTV aprox. ($)</x:v>
      </x:c>
      <x:c r="L4" s="13" t="str">
        <x:v>CAC asumido ($)</x:v>
      </x:c>
      <x:c r="M4" s="13" t="str">
        <x:v>LTV/CAC</x:v>
      </x:c>
      <x:c r="O4" s="13" t="str">
        <x:v>Métrica</x:v>
      </x:c>
      <x:c r="P4" s="13" t="str">
        <x:v>Qué mide</x:v>
      </x:c>
      <x:c r="Q4" s="13" t="str">
        <x:v>Tipo</x:v>
      </x:c>
      <x:c r="R4" s="13" t="str">
        <x:v>Riesgo de interpretación</x:v>
      </x:c>
      <x:c r="S4" s="13" t="str">
        <x:v>Fuente</x:v>
      </x:c>
    </x:row>
    <x:row r="5">
      <x:c r="A5" s="19" t="str">
        <x:v>TIKR</x:v>
      </x:c>
      <x:c r="B5" s="48" t="n">
        <x:v>500000</x:v>
      </x:c>
      <x:c r="C5" s="48" t="str">
        <x:v>Usuarios declarados</x:v>
      </x:c>
      <x:c r="D5" s="62"/>
      <x:c r="E5" s="62" t="n">
        <x:v>45</x:v>
      </x:c>
      <x:c r="F5" s="50" t="n">
        <x:v>25000</x:v>
      </x:c>
      <x:c r="G5" s="64" t="n">
        <x:f>IF(F5=0,0,E5*F5)</x:f>
        <x:v>1125000</x:v>
      </x:c>
      <x:c r="H5" s="64" t="n">
        <x:f>G5*12</x:f>
        <x:v>13500000</x:v>
      </x:c>
      <x:c r="I5" s="66" t="n">
        <x:v>0.75</x:v>
      </x:c>
      <x:c r="J5" s="66" t="n">
        <x:v>0.03</x:v>
      </x:c>
      <x:c r="K5" s="64" t="n">
        <x:f>IF(J5=0,0,E5*I5/J5)</x:f>
        <x:v>1125</x:v>
      </x:c>
      <x:c r="L5" s="68" t="n">
        <x:v>150</x:v>
      </x:c>
      <x:c r="M5" s="70" t="n">
        <x:f>IF(L5=0,0,K5/L5)</x:f>
        <x:v>7.5</x:v>
      </x:c>
      <x:c r="O5" s="19" t="str">
        <x:v>Usuarios/clientes base</x:v>
      </x:c>
      <x:c r="P5" s="19" t="str">
        <x:v>Escala pública</x:v>
      </x:c>
      <x:c r="Q5" s="19" t="str">
        <x:v>Hecho</x:v>
      </x:c>
      <x:c r="R5" s="19" t="str">
        <x:v>No equivale a paid</x:v>
      </x:c>
      <x:c r="S5" s="19" t="str">
        <x:v>Fuentes individuales</x:v>
      </x:c>
    </x:row>
    <x:row r="6">
      <x:c r="A6" s="19" t="str">
        <x:v>Koyfin</x:v>
      </x:c>
      <x:c r="B6" s="48" t="n">
        <x:v>500000</x:v>
      </x:c>
      <x:c r="C6" s="48" t="str">
        <x:v>Usuarios declarados</x:v>
      </x:c>
      <x:c r="D6" s="62" t="n">
        <x:v>4.3</x:v>
      </x:c>
      <x:c r="E6" s="62" t="n">
        <x:v>45</x:v>
      </x:c>
      <x:c r="F6" s="50" t="n">
        <x:v>15000</x:v>
      </x:c>
      <x:c r="G6" s="64" t="n">
        <x:f>IF(F6=0,0,E6*F6)</x:f>
        <x:v>675000</x:v>
      </x:c>
      <x:c r="H6" s="64" t="n">
        <x:f>G6*12</x:f>
        <x:v>8100000</x:v>
      </x:c>
      <x:c r="I6" s="66" t="n">
        <x:v>0.75</x:v>
      </x:c>
      <x:c r="J6" s="66" t="n">
        <x:v>0.025</x:v>
      </x:c>
      <x:c r="K6" s="64" t="n">
        <x:f>IF(J6=0,0,E6*I6/J6)</x:f>
        <x:v>1350</x:v>
      </x:c>
      <x:c r="L6" s="68" t="n">
        <x:v>200</x:v>
      </x:c>
      <x:c r="M6" s="70" t="n">
        <x:f>IF(L6=0,0,K6/L6)</x:f>
        <x:v>6.75</x:v>
      </x:c>
      <x:c r="O6" s="19" t="str">
        <x:v>ARPU asumido</x:v>
      </x:c>
      <x:c r="P6" s="19" t="str">
        <x:v>Monetización hipotética</x:v>
      </x:c>
      <x:c r="Q6" s="19" t="str">
        <x:v>Supuesto</x:v>
      </x:c>
      <x:c r="R6" s="19" t="str">
        <x:v>No es precio observado</x:v>
      </x:c>
      <x:c r="S6" s="19" t="str">
        <x:v>Supuestos</x:v>
      </x:c>
    </x:row>
    <x:row r="7">
      <x:c r="A7" s="19" t="str">
        <x:v>Stock Rover</x:v>
      </x:c>
      <x:c r="B7" s="48"/>
      <x:c r="C7" s="48" t="str">
        <x:v>No publicado</x:v>
      </x:c>
      <x:c r="D7" s="62"/>
      <x:c r="E7" s="62" t="n">
        <x:v>40</x:v>
      </x:c>
      <x:c r="F7" s="50" t="n">
        <x:v>10000</x:v>
      </x:c>
      <x:c r="G7" s="64" t="n">
        <x:f>IF(F7=0,0,E7*F7)</x:f>
        <x:v>400000</x:v>
      </x:c>
      <x:c r="H7" s="64" t="n">
        <x:f>G7*12</x:f>
        <x:v>4800000</x:v>
      </x:c>
      <x:c r="I7" s="66" t="n">
        <x:v>0.75</x:v>
      </x:c>
      <x:c r="J7" s="66" t="n">
        <x:v>0.03</x:v>
      </x:c>
      <x:c r="K7" s="64" t="n">
        <x:f>IF(J7=0,0,E7*I7/J7)</x:f>
        <x:v>1000</x:v>
      </x:c>
      <x:c r="L7" s="68" t="n">
        <x:v>150</x:v>
      </x:c>
      <x:c r="M7" s="70" t="n">
        <x:f>IF(L7=0,0,K7/L7)</x:f>
        <x:v>6.666666666666667</x:v>
      </x:c>
      <x:c r="O7" s="19" t="str">
        <x:v>Clientes pagos asumidos</x:v>
      </x:c>
      <x:c r="P7" s="19" t="str">
        <x:v>Base para escenario</x:v>
      </x:c>
      <x:c r="Q7" s="19" t="str">
        <x:v>Supuesto</x:v>
      </x:c>
      <x:c r="R7" s="19" t="str">
        <x:v>No confirma clientes reales</x:v>
      </x:c>
      <x:c r="S7" s="19" t="str">
        <x:v>Supuestos</x:v>
      </x:c>
    </x:row>
    <x:row r="8">
      <x:c r="A8" s="19" t="str">
        <x:v>Fiscal.ai</x:v>
      </x:c>
      <x:c r="B8" s="48"/>
      <x:c r="C8" s="48" t="str">
        <x:v>No publicado</x:v>
      </x:c>
      <x:c r="D8" s="62" t="n">
        <x:v>1</x:v>
      </x:c>
      <x:c r="E8" s="62" t="n">
        <x:v>60</x:v>
      </x:c>
      <x:c r="F8" s="50" t="n">
        <x:v>3000</x:v>
      </x:c>
      <x:c r="G8" s="64" t="n">
        <x:f>IF(F8=0,0,E8*F8)</x:f>
        <x:v>180000</x:v>
      </x:c>
      <x:c r="H8" s="64" t="n">
        <x:f>G8*12</x:f>
        <x:v>2160000</x:v>
      </x:c>
      <x:c r="I8" s="66" t="n">
        <x:v>0.75</x:v>
      </x:c>
      <x:c r="J8" s="66" t="n">
        <x:v>0.025</x:v>
      </x:c>
      <x:c r="K8" s="64" t="n">
        <x:f>IF(J8=0,0,E8*I8/J8)</x:f>
        <x:v>1800</x:v>
      </x:c>
      <x:c r="L8" s="68" t="n">
        <x:v>250</x:v>
      </x:c>
      <x:c r="M8" s="70" t="n">
        <x:f>IF(L8=0,0,K8/L8)</x:f>
        <x:v>7.2</x:v>
      </x:c>
      <x:c r="O8" s="19" t="str">
        <x:v>LTV</x:v>
      </x:c>
      <x:c r="P8" s="19" t="str">
        <x:v>ARPU×GM/churn</x:v>
      </x:c>
      <x:c r="Q8" s="19" t="str">
        <x:v>Modelo</x:v>
      </x:c>
      <x:c r="R8" s="19" t="str">
        <x:v>Muy sensible a churn</x:v>
      </x:c>
      <x:c r="S8" s="19" t="str">
        <x:v>Modelo</x:v>
      </x:c>
    </x:row>
    <x:row r="9">
      <x:c r="A9" s="19" t="str">
        <x:v>Quartr</x:v>
      </x:c>
      <x:c r="B9" s="48" t="n">
        <x:v>800</x:v>
      </x:c>
      <x:c r="C9" s="48" t="str">
        <x:v>Clientes modelados</x:v>
      </x:c>
      <x:c r="D9" s="62" t="n">
        <x:v>2.12</x:v>
      </x:c>
      <x:c r="E9" s="62" t="n">
        <x:v>1000</x:v>
      </x:c>
      <x:c r="F9" s="50" t="n">
        <x:v>100</x:v>
      </x:c>
      <x:c r="G9" s="64" t="n">
        <x:f>IF(F9=0,0,E9*F9)</x:f>
        <x:v>100000</x:v>
      </x:c>
      <x:c r="H9" s="64" t="n">
        <x:f>G9*12</x:f>
        <x:v>1200000</x:v>
      </x:c>
      <x:c r="I9" s="66" t="n">
        <x:v>0.8</x:v>
      </x:c>
      <x:c r="J9" s="66" t="n">
        <x:v>0.01</x:v>
      </x:c>
      <x:c r="K9" s="64" t="n">
        <x:f>IF(J9=0,0,E9*I9/J9)</x:f>
        <x:v>80000</x:v>
      </x:c>
      <x:c r="L9" s="68" t="n">
        <x:v>5000</x:v>
      </x:c>
      <x:c r="M9" s="70" t="n">
        <x:f>IF(L9=0,0,K9/L9)</x:f>
        <x:v>16</x:v>
      </x:c>
      <x:c r="O9" s="19" t="str">
        <x:v>CAC</x:v>
      </x:c>
      <x:c r="P9" s="19" t="str">
        <x:v>Costo de adquisición hipotético</x:v>
      </x:c>
      <x:c r="Q9" s="19" t="str">
        <x:v>Supuesto</x:v>
      </x:c>
      <x:c r="R9" s="19" t="str">
        <x:v>Validar por canal</x:v>
      </x:c>
      <x:c r="S9" s="19" t="str">
        <x:v>Supuestos</x:v>
      </x:c>
    </x:row>
    <x:row r="10">
      <x:c r="A10" s="19" t="str">
        <x:v>AlphaSense</x:v>
      </x:c>
      <x:c r="B10" s="48" t="n">
        <x:v>7000</x:v>
      </x:c>
      <x:c r="C10" s="48" t="str">
        <x:v>Clientes modelados</x:v>
      </x:c>
      <x:c r="D10" s="62" t="n">
        <x:v>600</x:v>
      </x:c>
      <x:c r="E10" s="62" t="n">
        <x:v>10000</x:v>
      </x:c>
      <x:c r="F10" s="50" t="n">
        <x:v>50</x:v>
      </x:c>
      <x:c r="G10" s="64" t="n">
        <x:f>IF(F10=0,0,E10*F10)</x:f>
        <x:v>500000</x:v>
      </x:c>
      <x:c r="H10" s="64" t="n">
        <x:f>G10*12</x:f>
        <x:v>6000000</x:v>
      </x:c>
      <x:c r="I10" s="66" t="n">
        <x:v>0.8</x:v>
      </x:c>
      <x:c r="J10" s="66" t="n">
        <x:v>0.008</x:v>
      </x:c>
      <x:c r="K10" s="64" t="n">
        <x:f>IF(J10=0,0,E10*I10/J10)</x:f>
        <x:v>1000000</x:v>
      </x:c>
      <x:c r="L10" s="68" t="n">
        <x:v>30000</x:v>
      </x:c>
      <x:c r="M10" s="70" t="n">
        <x:f>IF(L10=0,0,K10/L10)</x:f>
        <x:v>33.333333333333336</x:v>
      </x:c>
      <x:c r="O10" s="19" t="str">
        <x:v>LTV/CAC</x:v>
      </x:c>
      <x:c r="P10" s="19" t="str">
        <x:v>Calidad económica</x:v>
      </x:c>
      <x:c r="Q10" s="19" t="str">
        <x:v>Modelo</x:v>
      </x:c>
      <x:c r="R10" s="19" t="str">
        <x:v>No es benchmark público</x:v>
      </x:c>
      <x:c r="S10" s="19" t="str">
        <x:v>Modelo</x:v>
      </x:c>
    </x:row>
    <x:row r="11">
      <x:c r="A11" s="19" t="str">
        <x:v>Seeking Alpha</x:v>
      </x:c>
      <x:c r="B11" s="48" t="n">
        <x:v>20000000</x:v>
      </x:c>
      <x:c r="C11" s="48" t="str">
        <x:v>Monthly visitors</x:v>
      </x:c>
      <x:c r="D11" s="62"/>
      <x:c r="E11" s="62" t="n">
        <x:v>20</x:v>
      </x:c>
      <x:c r="F11" s="50" t="n">
        <x:v>10000</x:v>
      </x:c>
      <x:c r="G11" s="64" t="n">
        <x:f>IF(F11=0,0,E11*F11)</x:f>
        <x:v>200000</x:v>
      </x:c>
      <x:c r="H11" s="64" t="n">
        <x:f>G11*12</x:f>
        <x:v>2400000</x:v>
      </x:c>
      <x:c r="I11" s="66" t="n">
        <x:v>0.7</x:v>
      </x:c>
      <x:c r="J11" s="66" t="n">
        <x:v>0.04</x:v>
      </x:c>
      <x:c r="K11" s="64" t="n">
        <x:f>IF(J11=0,0,E11*I11/J11)</x:f>
        <x:v>350</x:v>
      </x:c>
      <x:c r="L11" s="68" t="n">
        <x:v>100</x:v>
      </x:c>
      <x:c r="M11" s="70" t="n">
        <x:f>IF(L11=0,0,K11/L11)</x:f>
        <x:v>3.5</x:v>
      </x:c>
    </x:row>
    <x:row r="12">
      <x:c r="A12" s="19" t="str">
        <x:v>Simply Wall St</x:v>
      </x:c>
      <x:c r="B12" s="48" t="n">
        <x:v>7000000</x:v>
      </x:c>
      <x:c r="C12" s="48" t="str">
        <x:v>Registered users</x:v>
      </x:c>
      <x:c r="D12" s="62"/>
      <x:c r="E12" s="62" t="n">
        <x:v>25</x:v>
      </x:c>
      <x:c r="F12" s="50" t="n">
        <x:v>15000</x:v>
      </x:c>
      <x:c r="G12" s="64" t="n">
        <x:f>IF(F12=0,0,E12*F12)</x:f>
        <x:v>375000</x:v>
      </x:c>
      <x:c r="H12" s="64" t="n">
        <x:f>G12*12</x:f>
        <x:v>4500000</x:v>
      </x:c>
      <x:c r="I12" s="66" t="n">
        <x:v>0.75</x:v>
      </x:c>
      <x:c r="J12" s="66" t="n">
        <x:v>0.035</x:v>
      </x:c>
      <x:c r="K12" s="64" t="n">
        <x:f>IF(J12=0,0,E12*I12/J12)</x:f>
        <x:v>535.7142857142857</x:v>
      </x:c>
      <x:c r="L12" s="68" t="n">
        <x:v>80</x:v>
      </x:c>
      <x:c r="M12" s="70" t="n">
        <x:f>IF(L12=0,0,K12/L12)</x:f>
        <x:v>6.696428571428571</x:v>
      </x:c>
    </x:row>
    <x:row r="13">
      <x:c r="A13" s="19" t="str">
        <x:v>GuruFocus</x:v>
      </x:c>
      <x:c r="B13" s="48" t="n">
        <x:v>40946</x:v>
      </x:c>
      <x:c r="C13" s="48" t="str">
        <x:v>Premium subscribers</x:v>
      </x:c>
      <x:c r="D13" s="62"/>
      <x:c r="E13" s="62" t="n">
        <x:v>45</x:v>
      </x:c>
      <x:c r="F13" s="50" t="n">
        <x:v>40946</x:v>
      </x:c>
      <x:c r="G13" s="64" t="n">
        <x:f>IF(F13=0,0,E13*F13)</x:f>
        <x:v>1842570</x:v>
      </x:c>
      <x:c r="H13" s="64" t="n">
        <x:f>G13*12</x:f>
        <x:v>22110840</x:v>
      </x:c>
      <x:c r="I13" s="66" t="n">
        <x:v>0.75</x:v>
      </x:c>
      <x:c r="J13" s="66" t="n">
        <x:v>0.025</x:v>
      </x:c>
      <x:c r="K13" s="64" t="n">
        <x:f>IF(J13=0,0,E13*I13/J13)</x:f>
        <x:v>1350</x:v>
      </x:c>
      <x:c r="L13" s="68" t="n">
        <x:v>200</x:v>
      </x:c>
      <x:c r="M13" s="70" t="n">
        <x:f>IF(L13=0,0,K13/L13)</x:f>
        <x:v>6.75</x:v>
      </x:c>
    </x:row>
    <x:row r="14">
      <x:c r="A14" s="19" t="str">
        <x:v>Finviz</x:v>
      </x:c>
      <x:c r="B14" s="48"/>
      <x:c r="C14" s="48" t="str">
        <x:v>No publicado</x:v>
      </x:c>
      <x:c r="D14" s="62"/>
      <x:c r="E14" s="62" t="n">
        <x:v>30</x:v>
      </x:c>
      <x:c r="F14" s="50" t="n">
        <x:v>10000</x:v>
      </x:c>
      <x:c r="G14" s="64" t="n">
        <x:f>IF(F14=0,0,E14*F14)</x:f>
        <x:v>300000</x:v>
      </x:c>
      <x:c r="H14" s="64" t="n">
        <x:f>G14*12</x:f>
        <x:v>3600000</x:v>
      </x:c>
      <x:c r="I14" s="66" t="n">
        <x:v>0.8</x:v>
      </x:c>
      <x:c r="J14" s="66" t="n">
        <x:v>0.03</x:v>
      </x:c>
      <x:c r="K14" s="64" t="n">
        <x:f>IF(J14=0,0,E14*I14/J14)</x:f>
        <x:v>800</x:v>
      </x:c>
      <x:c r="L14" s="68" t="n">
        <x:v>120</x:v>
      </x:c>
      <x:c r="M14" s="70" t="n">
        <x:f>IF(L14=0,0,K14/L14)</x:f>
        <x:v>6.666666666666667</x:v>
      </x:c>
    </x:row>
    <x:row r="15">
      <x:c r="A15" s="19" t="str">
        <x:v>TipRanks</x:v>
      </x:c>
      <x:c r="B15" s="48" t="n">
        <x:v>4000000</x:v>
      </x:c>
      <x:c r="C15" s="48" t="str">
        <x:v>Monthly users (2021 source)</x:v>
      </x:c>
      <x:c r="D15" s="62"/>
      <x:c r="E15" s="62" t="n">
        <x:v>30</x:v>
      </x:c>
      <x:c r="F15" s="50" t="n">
        <x:v>20000</x:v>
      </x:c>
      <x:c r="G15" s="64" t="n">
        <x:f>IF(F15=0,0,E15*F15)</x:f>
        <x:v>600000</x:v>
      </x:c>
      <x:c r="H15" s="64" t="n">
        <x:f>G15*12</x:f>
        <x:v>7200000</x:v>
      </x:c>
      <x:c r="I15" s="66" t="n">
        <x:v>0.75</x:v>
      </x:c>
      <x:c r="J15" s="66" t="n">
        <x:v>0.03</x:v>
      </x:c>
      <x:c r="K15" s="64" t="n">
        <x:f>IF(J15=0,0,E15*I15/J15)</x:f>
        <x:v>750</x:v>
      </x:c>
      <x:c r="L15" s="68" t="n">
        <x:v>150</x:v>
      </x:c>
      <x:c r="M15" s="70" t="n">
        <x:f>IF(L15=0,0,K15/L15)</x:f>
        <x:v>5</x:v>
      </x:c>
    </x:row>
    <x:row r="16">
      <x:c r="A16" s="19" t="str">
        <x:v>YCharts</x:v>
      </x:c>
      <x:c r="B16" s="48"/>
      <x:c r="C16" s="48" t="str">
        <x:v>No publicado</x:v>
      </x:c>
      <x:c r="D16" s="62"/>
      <x:c r="E16" s="62" t="n">
        <x:v>250</x:v>
      </x:c>
      <x:c r="F16" s="50" t="n">
        <x:v>1000</x:v>
      </x:c>
      <x:c r="G16" s="64" t="n">
        <x:f>IF(F16=0,0,E16*F16)</x:f>
        <x:v>250000</x:v>
      </x:c>
      <x:c r="H16" s="64" t="n">
        <x:f>G16*12</x:f>
        <x:v>3000000</x:v>
      </x:c>
      <x:c r="I16" s="66" t="n">
        <x:v>0.8</x:v>
      </x:c>
      <x:c r="J16" s="66" t="n">
        <x:v>0.015</x:v>
      </x:c>
      <x:c r="K16" s="64" t="n">
        <x:f>IF(J16=0,0,E16*I16/J16)</x:f>
        <x:v>13333.333333333334</x:v>
      </x:c>
      <x:c r="L16" s="68" t="n">
        <x:v>1500</x:v>
      </x:c>
      <x:c r="M16" s="70" t="n">
        <x:f>IF(L16=0,0,K16/L16)</x:f>
        <x:v>8.88888888888889</x:v>
      </x:c>
    </x:row>
  </x:sheetData>
  <x:mergeCells>
    <x:mergeCell ref="A1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0" hidden="0" customWidth="1"/>
    <x:col min="3" max="3" width="50" hidden="0" customWidth="1"/>
    <x:col min="4" max="4" width="50" hidden="0" customWidth="1"/>
    <x:col min="5" max="5" width="50" hidden="0" customWidth="1"/>
  </x:cols>
  <x:sheetData>
    <x:row r="1" ht="28" customHeight="1">
      <x:c r="A1" s="5" t="str">
        <x:v>FODA competitivo</x:v>
      </x:c>
      <x:c r="B1" s="5"/>
      <x:c r="C1" s="5"/>
      <x:c r="D1" s="5"/>
      <x:c r="E1" s="5"/>
    </x:row>
    <x:row r="2" ht="28" customHeight="1">
      <x:c r="A2" s="5"/>
      <x:c r="B2" s="5"/>
      <x:c r="C2" s="5"/>
      <x:c r="D2" s="5"/>
      <x:c r="E2" s="5"/>
    </x:row>
    <x:row r="4">
      <x:c r="A4" s="13" t="str">
        <x:v>Empresa</x:v>
      </x:c>
      <x:c r="B4" s="13" t="str">
        <x:v>Fortalezas</x:v>
      </x:c>
      <x:c r="C4" s="13" t="str">
        <x:v>Debilidades</x:v>
      </x:c>
      <x:c r="D4" s="13" t="str">
        <x:v>Oportunidades</x:v>
      </x:c>
      <x:c r="E4" s="13" t="str">
        <x:v>Amenazas</x:v>
      </x:c>
    </x:row>
    <x:row r="5">
      <x:c r="A5" s="19" t="str">
        <x:v>TIKR</x:v>
      </x:c>
      <x:c r="B5" s="19" t="str">
        <x:v>Data depth; 500k+; global; SEO; accessible pricing</x:v>
      </x:c>
      <x:c r="C5" s="19" t="str">
        <x:v>Sin API; portfolio menos profundo; data licensing constraints; mobile sin app dedicada</x:v>
      </x:c>
      <x:c r="D5" s="19" t="str">
        <x:v>AI-native research; portfolio; advisor; API si contratos lo permiten</x:v>
      </x:c>
      <x:c r="E5" s="19" t="str">
        <x:v>Koyfin; Fiscal.ai; Quartr; LLMs; vendor constraints</x:v>
      </x:c>
    </x:row>
    <x:row r="6">
      <x:c r="A6" s="19" t="str">
        <x:v>Koyfin</x:v>
      </x:c>
      <x:c r="B6" s="19" t="str">
        <x:v>500k+; dashboards/portfolio; advisor monetization</x:v>
      </x:c>
      <x:c r="C6" s="19" t="str">
        <x:v>Tier altos caros; complejidad advisor</x:v>
      </x:c>
      <x:c r="D6" s="19" t="str">
        <x:v>AI; Teams; institutional expansion</x:v>
      </x:c>
      <x:c r="E6" s="19" t="str">
        <x:v>TIKR/Fiscal/Quartr; pricing pressure</x:v>
      </x:c>
    </x:row>
    <x:row r="7">
      <x:c r="A7" s="19" t="str">
        <x:v>Stock Rover</x:v>
      </x:c>
      <x:c r="B7" s="19" t="str">
        <x:v>Screening; metrics; broker/portfolio</x:v>
      </x:c>
      <x:c r="C7" s="19" t="str">
        <x:v>AI/research menos diferenciados</x:v>
      </x:c>
      <x:c r="D7" s="19" t="str">
        <x:v>AI + portfolio intelligence</x:v>
      </x:c>
      <x:c r="E7" s="19" t="str">
        <x:v>Koyfin/TIKR/Fiscal</x:v>
      </x:c>
    </x:row>
    <x:row r="8">
      <x:c r="A8" s="19" t="str">
        <x:v>Fiscal.ai</x:v>
      </x:c>
      <x:c r="B8" s="19" t="str">
        <x:v>AI + data + API; accessible pricing</x:v>
      </x:c>
      <x:c r="C8" s="19" t="str">
        <x:v>Menor escala/brand; data costs</x:v>
      </x:c>
      <x:c r="D8" s="19" t="str">
        <x:v>AI research; B2B data</x:v>
      </x:c>
      <x:c r="E8" s="19" t="str">
        <x:v>Quartr/AlphaSense/LLM platforms</x:v>
      </x:c>
    </x:row>
    <x:row r="9">
      <x:c r="A9" s="19" t="str">
        <x:v>Quartr</x:v>
      </x:c>
      <x:c r="B9" s="19" t="str">
        <x:v>First-party IR; API; AI; 800+ institutions/tech; NRR ~120%</x:v>
      </x:c>
      <x:c r="C9" s="19" t="str">
        <x:v>Enterprise sales; narrower financial scope</x:v>
      </x:c>
      <x:c r="D9" s="19" t="str">
        <x:v>AI infrastructure; MCP; automation</x:v>
      </x:c>
      <x:c r="E9" s="19" t="str">
        <x:v>AlphaSense; data vendors; LLMs</x:v>
      </x:c>
    </x:row>
    <x:row r="10">
      <x:c r="A10" s="19" t="str">
        <x:v>AlphaSense</x:v>
      </x:c>
      <x:c r="B10" s="19" t="str">
        <x:v>&gt;$600M ARR; enterprise moat; AI/data/workflow</x:v>
      </x:c>
      <x:c r="C10" s="19" t="str">
        <x:v>Heavy enterprise sales/cost base</x:v>
      </x:c>
      <x:c r="D10" s="19" t="str">
        <x:v>Agentic enterprise workflows</x:v>
      </x:c>
      <x:c r="E10" s="19" t="str">
        <x:v>Vertical AI vendors; incumbents</x:v>
      </x:c>
    </x:row>
    <x:row r="11">
      <x:c r="A11" s="19" t="str">
        <x:v>Seeking Alpha</x:v>
      </x:c>
      <x:c r="B11" s="19" t="str">
        <x:v>20M monthly visitors; 18k analysts; community</x:v>
      </x:c>
      <x:c r="C11" s="19" t="str">
        <x:v>Content quality variability; generic content commoditization</x:v>
      </x:c>
      <x:c r="D11" s="19" t="str">
        <x:v>AI personalization; portfolio conversion</x:v>
      </x:c>
      <x:c r="E11" s="19" t="str">
        <x:v>LLMs; social finance</x:v>
      </x:c>
    </x:row>
    <x:row r="12">
      <x:c r="A12" s="19" t="str">
        <x:v>Simply Wall St</x:v>
      </x:c>
      <x:c r="B12" s="19" t="str">
        <x:v>7M+ users; visual narrative; profitable history</x:v>
      </x:c>
      <x:c r="C12" s="19" t="str">
        <x:v>Less professional depth</x:v>
      </x:c>
      <x:c r="D12" s="19" t="str">
        <x:v>AI explainability; portfolio</x:v>
      </x:c>
      <x:c r="E12" s="19" t="str">
        <x:v>TIKR/Koyfin/AI visuals</x:v>
      </x:c>
    </x:row>
    <x:row r="13">
      <x:c r="A13" s="19" t="str">
        <x:v>GuruFocus</x:v>
      </x:c>
      <x:c r="B13" s="19" t="str">
        <x:v>40,946 premium; 30Y data; guru datasets; Excel</x:v>
      </x:c>
      <x:c r="C13" s="19" t="str">
        <x:v>High pricing; niche positioning</x:v>
      </x:c>
      <x:c r="D13" s="19" t="str">
        <x:v>API/data expansion; AI</x:v>
      </x:c>
      <x:c r="E13" s="19" t="str">
        <x:v>TIKR/Stock Rover/AI</x:v>
      </x:c>
    </x:row>
    <x:row r="14">
      <x:c r="A14" s="19" t="str">
        <x:v>Finviz</x:v>
      </x:c>
      <x:c r="B14" s="19" t="str">
        <x:v>Simple UX; strong screener; cheap</x:v>
      </x:c>
      <x:c r="C14" s="19" t="str">
        <x:v>Less comprehensive research/portfolio</x:v>
      </x:c>
      <x:c r="D14" s="19" t="str">
        <x:v>AI screener; mobile</x:v>
      </x:c>
      <x:c r="E14" s="19" t="str">
        <x:v>Commodity screeners</x:v>
      </x:c>
    </x:row>
    <x:row r="15">
      <x:c r="A15" s="19" t="str">
        <x:v>TipRanks</x:v>
      </x:c>
      <x:c r="B15" s="19" t="str">
        <x:v>Alternative data; analyst ranking; brokerage distribution</x:v>
      </x:c>
      <x:c r="C15" s="19" t="str">
        <x:v>Funding/data/B2B concentration</x:v>
      </x:c>
      <x:c r="D15" s="19" t="str">
        <x:v>AI + alternative data</x:v>
      </x:c>
      <x:c r="E15" s="19" t="str">
        <x:v>Brokers/LLMs/research platforms</x:v>
      </x:c>
    </x:row>
    <x:row r="16">
      <x:c r="A16" s="19" t="str">
        <x:v>YCharts</x:v>
      </x:c>
      <x:c r="B16" s="19" t="str">
        <x:v>Advisor workflow; reporting; integrations</x:v>
      </x:c>
      <x:c r="C16" s="19" t="str">
        <x:v>Less retail-oriented</x:v>
      </x:c>
      <x:c r="D16" s="19" t="str">
        <x:v>AI advisor copilot</x:v>
      </x:c>
      <x:c r="E16" s="19" t="str">
        <x:v>Koyfin + portfolio platforms</x:v>
      </x:c>
    </x:row>
  </x:sheetData>
  <x:mergeCells>
    <x:mergeCell ref="A1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38" hidden="0" customWidth="1"/>
    <x:col min="4" max="4" width="32" hidden="0" customWidth="1"/>
    <x:col min="5" max="5" width="24" hidden="0" customWidth="1"/>
    <x:col min="6" max="6" width="12" hidden="0" customWidth="1"/>
    <x:col min="7" max="7" width="40" hidden="0" customWidth="1"/>
    <x:col min="8" max="8" width="36" hidden="0" customWidth="1"/>
    <x:col min="9" max="9" width="55" hidden="0" customWidth="1"/>
  </x:cols>
  <x:sheetData>
    <x:row r="1" ht="28" customHeight="1">
      <x:c r="A1" s="5" t="str">
        <x:v>Datos, proveedores, distribución y barreras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4">
      <x:c r="A4" s="13" t="str">
        <x:v>Empresa</x:v>
      </x:c>
      <x:c r="B4" s="13" t="str">
        <x:v>Fuentes / capa de datos</x:v>
      </x:c>
      <x:c r="C4" s="13" t="str">
        <x:v>Tipo de dato diferencial</x:v>
      </x:c>
      <x:c r="D4" s="13" t="str">
        <x:v>Cobertura</x:v>
      </x:c>
      <x:c r="E4" s="13" t="str">
        <x:v>Distribución</x:v>
      </x:c>
      <x:c r="F4" s="13" t="str">
        <x:v>API</x:v>
      </x:c>
      <x:c r="G4" s="13" t="str">
        <x:v>Restricción / dependencia</x:v>
      </x:c>
      <x:c r="H4" s="13" t="str">
        <x:v>Moat</x:v>
      </x:c>
      <x:c r="I4" s="13" t="str">
        <x:v>Fuente</x:v>
      </x:c>
    </x:row>
    <x:row r="5">
      <x:c r="A5" s="19" t="str">
        <x:v>TIKR</x:v>
      </x:c>
      <x:c r="B5" s="19" t="str">
        <x:v>S&amp;P Capital IQ; Morningstar; FMP (declarado)</x:v>
      </x:c>
      <x:c r="C5" s="19" t="str">
        <x:v>Financials, estimates, transcripts, filings, ownership</x:v>
      </x:c>
      <x:c r="D5" s="19" t="str">
        <x:v>100k+ stocks; 92 countries; 136 exchanges</x:v>
      </x:c>
      <x:c r="E5" s="19" t="str">
        <x:v>SEO + affiliate + product</x:v>
      </x:c>
      <x:c r="F5" s="19" t="str">
        <x:v>No</x:v>
      </x:c>
      <x:c r="G5" s="19" t="str">
        <x:v>Agreements with data vendors; no API/Excel plugin according to support</x:v>
      </x:c>
      <x:c r="H5" s="19" t="str">
        <x:v>Data + normalization + brand</x:v>
      </x:c>
      <x:c r="I5" s="19" t="str">
        <x:v>https://support.tikr.com/hc/en-us/articles/5403705233947-What-is-the-source-of-your-data-Why-is-there-a-potential-error-in-the-financial-data</x:v>
      </x:c>
    </x:row>
    <x:row r="6">
      <x:c r="A6" s="19" t="str">
        <x:v>Koyfin</x:v>
      </x:c>
      <x:c r="B6" s="19" t="str">
        <x:v>Múltiples market/research datasets</x:v>
      </x:c>
      <x:c r="C6" s="19" t="str">
        <x:v>Fundamentals, estimates, macro, portfolio</x:v>
      </x:c>
      <x:c r="D6" s="19" t="str">
        <x:v>Global</x:v>
      </x:c>
      <x:c r="E6" s="19" t="str">
        <x:v>Product + advisors</x:v>
      </x:c>
      <x:c r="F6" s="19" t="str">
        <x:v>No es foco</x:v>
      </x:c>
      <x:c r="G6" s="19" t="str">
        <x:v>Data licenses/integrations</x:v>
      </x:c>
      <x:c r="H6" s="19" t="str">
        <x:v>Portfolio/advisor workflow</x:v>
      </x:c>
      <x:c r="I6" s="19" t="str">
        <x:v>https://www.koyfin.com/pricing/plans-comparison/</x:v>
      </x:c>
    </x:row>
    <x:row r="7">
      <x:c r="A7" s="19" t="str">
        <x:v>Stock Rover</x:v>
      </x:c>
      <x:c r="B7" s="19" t="str">
        <x:v>Market/data feeds</x:v>
      </x:c>
      <x:c r="C7" s="19" t="str">
        <x:v>Metrics, screening, portfolio, funds/ETFs</x:v>
      </x:c>
      <x:c r="D7" s="19" t="str">
        <x:v>US/Canada + funds</x:v>
      </x:c>
      <x:c r="E7" s="19" t="str">
        <x:v>Product + organic</x:v>
      </x:c>
      <x:c r="F7" s="19" t="str">
        <x:v>No es foco</x:v>
      </x:c>
      <x:c r="G7" s="19" t="str">
        <x:v>Broker/data integrations</x:v>
      </x:c>
      <x:c r="H7" s="19" t="str">
        <x:v>Screening + portfolio</x:v>
      </x:c>
      <x:c r="I7" s="19" t="str">
        <x:v>https://www.stockrover.com/plans/</x:v>
      </x:c>
    </x:row>
    <x:row r="8">
      <x:c r="A8" s="19" t="str">
        <x:v>Fiscal.ai</x:v>
      </x:c>
      <x:c r="B8" s="19" t="str">
        <x:v>Financial data + proprietary processing</x:v>
      </x:c>
      <x:c r="C8" s="19" t="str">
        <x:v>Financials, KPI, estimates, research</x:v>
      </x:c>
      <x:c r="D8" s="19" t="str">
        <x:v>Global</x:v>
      </x:c>
      <x:c r="E8" s="19" t="str">
        <x:v>Product + B2B data</x:v>
      </x:c>
      <x:c r="F8" s="19" t="str">
        <x:v>Sí</x:v>
      </x:c>
      <x:c r="G8" s="19" t="str">
        <x:v>Data licensing</x:v>
      </x:c>
      <x:c r="H8" s="19" t="str">
        <x:v>AI + data/API</x:v>
      </x:c>
      <x:c r="I8" s="19" t="str">
        <x:v>https://fiscal.ai/pricing/</x:v>
      </x:c>
    </x:row>
    <x:row r="9">
      <x:c r="A9" s="19" t="str">
        <x:v>Quartr</x:v>
      </x:c>
      <x:c r="B9" s="19" t="str">
        <x:v>First-party investor relations</x:v>
      </x:c>
      <x:c r="C9" s="19" t="str">
        <x:v>Calls, transcripts, slides, filings, events</x:v>
      </x:c>
      <x:c r="D9" s="19" t="str">
        <x:v>15k+ public companies</x:v>
      </x:c>
      <x:c r="E9" s="19" t="str">
        <x:v>Enterprise + API + MCP</x:v>
      </x:c>
      <x:c r="F9" s="19" t="str">
        <x:v>Sí</x:v>
      </x:c>
      <x:c r="G9" s="19" t="str">
        <x:v>First-party rights / enterprise</x:v>
      </x:c>
      <x:c r="H9" s="19" t="str">
        <x:v>First-party IR + API</x:v>
      </x:c>
      <x:c r="I9" s="19" t="str">
        <x:v>https://quartr.com/newsroom/press-release/quartr-is-now-available-in-openais-codex-via-mcp</x:v>
      </x:c>
    </x:row>
    <x:row r="10">
      <x:c r="A10" s="19" t="str">
        <x:v>AlphaSense</x:v>
      </x:c>
      <x:c r="B10" s="19" t="str">
        <x:v>Large enterprise document/data corpus</x:v>
      </x:c>
      <x:c r="C10" s="19" t="str">
        <x:v>Market intelligence + AI</x:v>
      </x:c>
      <x:c r="D10" s="19" t="str">
        <x:v>Enterprise/global</x:v>
      </x:c>
      <x:c r="E10" s="19" t="str">
        <x:v>Enterprise sales</x:v>
      </x:c>
      <x:c r="F10" s="19" t="str">
        <x:v>Integrations</x:v>
      </x:c>
      <x:c r="G10" s="19" t="str">
        <x:v>Data licensing + sales complexity</x:v>
      </x:c>
      <x:c r="H10" s="19" t="str">
        <x:v>Data + AI + workflow</x:v>
      </x:c>
      <x:c r="I10" s="19" t="str">
        <x:v>https://www.alpha-sense.com/press/alphasense-raises-350m-at-7-5b-valuation-and-surpasses-600m-in-annual-recurring-revenue/</x:v>
      </x:c>
    </x:row>
    <x:row r="11">
      <x:c r="A11" s="19" t="str">
        <x:v>Simply Wall St</x:v>
      </x:c>
      <x:c r="B11" s="19" t="str">
        <x:v>S&amp;P Global Market Intelligence</x:v>
      </x:c>
      <x:c r="C11" s="19" t="str">
        <x:v>Financial data visualized</x:v>
      </x:c>
      <x:c r="D11" s="19" t="str">
        <x:v>120k+ stocks; 90 markets</x:v>
      </x:c>
      <x:c r="E11" s="19" t="str">
        <x:v>SEO + product</x:v>
      </x:c>
      <x:c r="F11" s="19" t="str">
        <x:v>No es foco</x:v>
      </x:c>
      <x:c r="G11" s="19" t="str">
        <x:v>Vendor dependency</x:v>
      </x:c>
      <x:c r="H11" s="19" t="str">
        <x:v>Visualization + simplicity</x:v>
      </x:c>
      <x:c r="I11" s="19" t="str">
        <x:v>https://support.simplywall.st/hc/en-us/articles/8908651462543-Where-do-you-source-financial-data</x:v>
      </x:c>
    </x:row>
    <x:row r="12">
      <x:c r="A12" s="19" t="str">
        <x:v>GuruFocus</x:v>
      </x:c>
      <x:c r="B12" s="19" t="str">
        <x:v>Guru/financial datasets + market data</x:v>
      </x:c>
      <x:c r="C12" s="19" t="str">
        <x:v>Guru holdings, history, screening</x:v>
      </x:c>
      <x:c r="D12" s="19" t="str">
        <x:v>Global regions</x:v>
      </x:c>
      <x:c r="E12" s="19" t="str">
        <x:v>Content + product + data</x:v>
      </x:c>
      <x:c r="F12" s="19" t="str">
        <x:v>Sí</x:v>
      </x:c>
      <x:c r="G12" s="19" t="str">
        <x:v>Data licensing</x:v>
      </x:c>
      <x:c r="H12" s="19" t="str">
        <x:v>Niche data + history</x:v>
      </x:c>
      <x:c r="I12" s="19" t="str">
        <x:v>https://www.gurufocus.com/pricing?ROCO%3A3211=&amp;sel=premium</x:v>
      </x:c>
    </x:row>
    <x:row r="13">
      <x:c r="A13" s="19" t="str">
        <x:v>Finviz</x:v>
      </x:c>
      <x:c r="B13" s="19" t="str">
        <x:v>Market/fundamental data</x:v>
      </x:c>
      <x:c r="C13" s="19" t="str">
        <x:v>Screener + real-time + charts</x:v>
      </x:c>
      <x:c r="D13" s="19" t="str">
        <x:v>US/global instruments</x:v>
      </x:c>
      <x:c r="E13" s="19" t="str">
        <x:v>SEO/direct</x:v>
      </x:c>
      <x:c r="F13" s="19" t="str">
        <x:v>Sí Elite</x:v>
      </x:c>
      <x:c r="G13" s="19" t="str">
        <x:v>Data feed</x:v>
      </x:c>
      <x:c r="H13" s="19" t="str">
        <x:v>UX + screener</x:v>
      </x:c>
      <x:c r="I13" s="19" t="str">
        <x:v>https://finviz.com/elite</x:v>
      </x:c>
    </x:row>
    <x:row r="14">
      <x:c r="A14" s="19" t="str">
        <x:v>TipRanks</x:v>
      </x:c>
      <x:c r="B14" s="19" t="str">
        <x:v>Alternative datasets + analyst research/news/social</x:v>
      </x:c>
      <x:c r="C14" s="19" t="str">
        <x:v>Analyst rankings, sentiment, activity</x:v>
      </x:c>
      <x:c r="D14" s="19" t="str">
        <x:v>Global / brokers</x:v>
      </x:c>
      <x:c r="E14" s="19" t="str">
        <x:v>B2C + B2B</x:v>
      </x:c>
      <x:c r="F14" s="19" t="str">
        <x:v>B2B</x:v>
      </x:c>
      <x:c r="G14" s="19" t="str">
        <x:v>Data rights</x:v>
      </x:c>
      <x:c r="H14" s="19" t="str">
        <x:v>Alt-data + distribution</x:v>
      </x:c>
      <x:c r="I14" s="19" t="str">
        <x:v>https://www.tipranks.com/news/labs/tipranks-receives-77-million-investment-to-support-retail-investor-frenzy</x:v>
      </x:c>
    </x:row>
    <x:row r="15">
      <x:c r="A15" s="19" t="str">
        <x:v>YCharts</x:v>
      </x:c>
      <x:c r="B15" s="19" t="str">
        <x:v>Financial/market data + integrations</x:v>
      </x:c>
      <x:c r="C15" s="19" t="str">
        <x:v>Advisor research/reporting</x:v>
      </x:c>
      <x:c r="D15" s="19" t="str">
        <x:v>Global</x:v>
      </x:c>
      <x:c r="E15" s="19" t="str">
        <x:v>B2B sales</x:v>
      </x:c>
      <x:c r="F15" s="19" t="str">
        <x:v>Enterprise</x:v>
      </x:c>
      <x:c r="G15" s="19" t="str">
        <x:v>Data/integration</x:v>
      </x:c>
      <x:c r="H15" s="19" t="str">
        <x:v>Advisor workflow</x:v>
      </x:c>
      <x:c r="I15" s="19" t="str">
        <x:v>https://ycharts.com/</x:v>
      </x:c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</x:row>
  </x:sheetData>
  <x:mergeCells>
    <x:mergeCell ref="A1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5" hidden="0" customWidth="1"/>
    <x:col min="3" max="3" width="46" hidden="0" customWidth="1"/>
    <x:col min="4" max="4" width="20" hidden="0" customWidth="1"/>
    <x:col min="5" max="5" width="22" hidden="0" customWidth="1"/>
    <x:col min="6" max="6" width="32" hidden="0" customWidth="1"/>
    <x:col min="7" max="7" width="32" hidden="0" customWidth="1"/>
    <x:col min="8" max="8" width="12" hidden="0" customWidth="1"/>
    <x:col min="9" max="9" width="12" hidden="0" customWidth="1"/>
    <x:col min="10" max="10" width="34" hidden="0" customWidth="1"/>
  </x:cols>
  <x:sheetData>
    <x:row r="1" ht="28" customHeight="1">
      <x:c r="A1" s="5" t="str">
        <x:v>Estrategia de entrada recomendada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13" t="str">
        <x:v>Área</x:v>
      </x:c>
      <x:c r="B4" s="13" t="str">
        <x:v>Hipótesis</x:v>
      </x:c>
      <x:c r="C4" s="13" t="str">
        <x:v>Acción</x:v>
      </x:c>
      <x:c r="D4" s="13" t="str">
        <x:v>KPI</x:v>
      </x:c>
      <x:c r="E4" s="13" t="str">
        <x:v>Objetivo inicial</x:v>
      </x:c>
      <x:c r="F4" s="13" t="str">
        <x:v>Riesgo</x:v>
      </x:c>
      <x:c r="G4" s="13" t="str">
        <x:v>Mitigación</x:v>
      </x:c>
      <x:c r="H4" s="13" t="str">
        <x:v>Prioridad</x:v>
      </x:c>
      <x:c r="I4" s="13" t="str">
        <x:v>Horizonte</x:v>
      </x:c>
      <x:c r="J4" s="13" t="str">
        <x:v>Razonamiento</x:v>
      </x:c>
    </x:row>
    <x:row r="5">
      <x:c r="A5" s="19" t="str">
        <x:v>Beachhead</x:v>
      </x:c>
      <x:c r="B5" s="19" t="str">
        <x:v>LATAM + US serious investors</x:v>
      </x:c>
      <x:c r="C5" s="19" t="str">
        <x:v>Argentina/Brazil/Mexico + US large caps</x:v>
      </x:c>
      <x:c r="D5" s="19" t="str">
        <x:v>% usuarios LATAM/US</x:v>
      </x:c>
      <x:c r="E5" s="19" t="str">
        <x:v>1,000 activos</x:v>
      </x:c>
      <x:c r="F5" s="19" t="str">
        <x:v>Mercado pequeño</x:v>
      </x:c>
      <x:c r="G5" s="19" t="str">
        <x:v>Expandir por cohortes</x:v>
      </x:c>
      <x:c r="H5" s="19" t="str">
        <x:v>Alta</x:v>
      </x:c>
      <x:c r="I5" s="19" t="str">
        <x:v>0-12m</x:v>
      </x:c>
      <x:c r="J5" s="19" t="str">
        <x:v>Diferenciación de datos/localización</x:v>
      </x:c>
    </x:row>
    <x:row r="6">
      <x:c r="A6" s="19" t="str">
        <x:v>Core value prop</x:v>
      </x:c>
      <x:c r="B6" s="19" t="str">
        <x:v>Research en minutos</x:v>
      </x:c>
      <x:c r="C6" s="19" t="str">
        <x:v>AI research + evidence + valuation</x:v>
      </x:c>
      <x:c r="D6" s="19" t="str">
        <x:v>Time to first insight</x:v>
      </x:c>
      <x:c r="E6" s="19" t="str">
        <x:v>&lt;5 min</x:v>
      </x:c>
      <x:c r="F6" s="19" t="str">
        <x:v>AI incorrecta</x:v>
      </x:c>
      <x:c r="G6" s="19" t="str">
        <x:v>Citations + deterministic metrics</x:v>
      </x:c>
      <x:c r="H6" s="19" t="str">
        <x:v>Alta</x:v>
      </x:c>
      <x:c r="I6" s="19" t="str">
        <x:v>0-6m</x:v>
      </x:c>
      <x:c r="J6" s="19" t="str">
        <x:v>Ataca job-to-be-done</x:v>
      </x:c>
    </x:row>
    <x:row r="7">
      <x:c r="A7" s="19" t="str">
        <x:v>Free acquisition</x:v>
      </x:c>
      <x:c r="B7" s="19" t="str">
        <x:v>Content-led SaaS</x:v>
      </x:c>
      <x:c r="C7" s="19" t="str">
        <x:v>SEO programático + YouTube + X</x:v>
      </x:c>
      <x:c r="D7" s="19" t="str">
        <x:v>Organic signups</x:v>
      </x:c>
      <x:c r="E7" s="19" t="str">
        <x:v>5% visit→signup hipotético</x:v>
      </x:c>
      <x:c r="F7" s="19" t="str">
        <x:v>Contenido commodity</x:v>
      </x:c>
      <x:c r="G7" s="19" t="str">
        <x:v>Templates + proprietary analysis</x:v>
      </x:c>
      <x:c r="H7" s="19" t="str">
        <x:v>Alta</x:v>
      </x:c>
      <x:c r="I7" s="19" t="str">
        <x:v>0-12m</x:v>
      </x:c>
      <x:c r="J7" s="19" t="str">
        <x:v>Flywheel de contenido</x:v>
      </x:c>
    </x:row>
    <x:row r="8">
      <x:c r="A8" s="19" t="str">
        <x:v>Conversion</x:v>
      </x:c>
      <x:c r="B8" s="19" t="str">
        <x:v>Freemium</x:v>
      </x:c>
      <x:c r="C8" s="19" t="str">
        <x:v>Free → Pro</x:v>
      </x:c>
      <x:c r="D8" s="19" t="str">
        <x:v>Free-to-paid</x:v>
      </x:c>
      <x:c r="E8" s="19" t="str">
        <x:v>3-8% objetivo</x:v>
      </x:c>
      <x:c r="F8" s="19" t="str">
        <x:v>Paywall temprano</x:v>
      </x:c>
      <x:c r="G8" s="19" t="str">
        <x:v>Value-first onboarding</x:v>
      </x:c>
      <x:c r="H8" s="19" t="str">
        <x:v>Alta</x:v>
      </x:c>
      <x:c r="I8" s="19" t="str">
        <x:v>0-12m</x:v>
      </x:c>
      <x:c r="J8" s="19" t="str">
        <x:v>Reduce CAC</x:v>
      </x:c>
    </x:row>
    <x:row r="9">
      <x:c r="A9" s="19" t="str">
        <x:v>Retention</x:v>
      </x:c>
      <x:c r="B9" s="19" t="str">
        <x:v>Portfolio + alerts</x:v>
      </x:c>
      <x:c r="C9" s="19" t="str">
        <x:v>Watchlists + earnings + valuation alerts</x:v>
      </x:c>
      <x:c r="D9" s="19" t="str">
        <x:v>Monthly churn</x:v>
      </x:c>
      <x:c r="E9" s="19" t="str">
        <x:v>&lt;3% objetivo</x:v>
      </x:c>
      <x:c r="F9" s="19" t="str">
        <x:v>Low-frequency users</x:v>
      </x:c>
      <x:c r="G9" s="19" t="str">
        <x:v>Automation + portfolio</x:v>
      </x:c>
      <x:c r="H9" s="19" t="str">
        <x:v>Alta</x:v>
      </x:c>
      <x:c r="I9" s="19" t="str">
        <x:v>3-18m</x:v>
      </x:c>
      <x:c r="J9" s="19" t="str">
        <x:v>Crea hábito</x:v>
      </x:c>
    </x:row>
    <x:row r="10">
      <x:c r="A10" s="19" t="str">
        <x:v>B2B</x:v>
      </x:c>
      <x:c r="B10" s="19" t="str">
        <x:v>Advisor/small fund</x:v>
      </x:c>
      <x:c r="C10" s="19" t="str">
        <x:v>Concierge research + outbound</x:v>
      </x:c>
      <x:c r="D10" s="19" t="str">
        <x:v>Pilot conversion</x:v>
      </x:c>
      <x:c r="E10" s="19" t="str">
        <x:v>20 pilots</x:v>
      </x:c>
      <x:c r="F10" s="19" t="str">
        <x:v>Sales cycle</x:v>
      </x:c>
      <x:c r="G10" s="19" t="str">
        <x:v>Productized proof</x:v>
      </x:c>
      <x:c r="H10" s="19" t="str">
        <x:v>Media</x:v>
      </x:c>
      <x:c r="I10" s="19" t="str">
        <x:v>6-18m</x:v>
      </x:c>
      <x:c r="J10" s="19" t="str">
        <x:v>Sube ARPU</x:v>
      </x:c>
    </x:row>
    <x:row r="11">
      <x:c r="A11" s="19" t="str">
        <x:v>API</x:v>
      </x:c>
      <x:c r="B11" s="19" t="str">
        <x:v>Developer platform</x:v>
      </x:c>
      <x:c r="C11" s="19" t="str">
        <x:v>API + webhooks + MCP</x:v>
      </x:c>
      <x:c r="D11" s="19" t="str">
        <x:v>API revenue</x:v>
      </x:c>
      <x:c r="E11" s="19" t="str">
        <x:v>10 design partners</x:v>
      </x:c>
      <x:c r="F11" s="19" t="str">
        <x:v>Data rights</x:v>
      </x:c>
      <x:c r="G11" s="19" t="str">
        <x:v>Own derived layer</x:v>
      </x:c>
      <x:c r="H11" s="19" t="str">
        <x:v>Alta</x:v>
      </x:c>
      <x:c r="I11" s="19" t="str">
        <x:v>6-24m</x:v>
      </x:c>
      <x:c r="J11" s="19" t="str">
        <x:v>Gap explícito de TIKR</x:v>
      </x:c>
    </x:row>
    <x:row r="12">
      <x:c r="A12" s="19" t="str">
        <x:v>Creator</x:v>
      </x:c>
      <x:c r="B12" s="19" t="str">
        <x:v>Distribution moat</x:v>
      </x:c>
      <x:c r="C12" s="19" t="str">
        <x:v>Creator program + shareable research</x:v>
      </x:c>
      <x:c r="D12" s="19" t="str">
        <x:v>Referral %</x:v>
      </x:c>
      <x:c r="E12" s="19" t="str">
        <x:v>20 partners</x:v>
      </x:c>
      <x:c r="F12" s="19" t="str">
        <x:v>Spam/quality</x:v>
      </x:c>
      <x:c r="G12" s="19" t="str">
        <x:v>Curated partners</x:v>
      </x:c>
      <x:c r="H12" s="19" t="str">
        <x:v>Media</x:v>
      </x:c>
      <x:c r="I12" s="19" t="str">
        <x:v>3-12m</x:v>
      </x:c>
      <x:c r="J12" s="19" t="str">
        <x:v>Canal probado en TIKR</x:v>
      </x:c>
    </x:row>
    <x:row r="13">
      <x:c r="A13" s="19" t="str">
        <x:v>Data moat</x:v>
      </x:c>
      <x:c r="B13" s="19" t="str">
        <x:v>Own normalized layer</x:v>
      </x:c>
      <x:c r="C13" s="19" t="str">
        <x:v>Entity resolution + taxonomy + evidence graph</x:v>
      </x:c>
      <x:c r="D13" s="19" t="str">
        <x:v>Coverage + QA rate</x:v>
      </x:c>
      <x:c r="E13" s="19" t="str">
        <x:v>1k–5k companies</x:v>
      </x:c>
      <x:c r="F13" s="19" t="str">
        <x:v>Licensing</x:v>
      </x:c>
      <x:c r="G13" s="19" t="str">
        <x:v>Public-first + premium tier</x:v>
      </x:c>
      <x:c r="H13" s="19" t="str">
        <x:v>Alta</x:v>
      </x:c>
      <x:c r="I13" s="19" t="str">
        <x:v>0-24m</x:v>
      </x:c>
      <x:c r="J13" s="19" t="str">
        <x:v>Core defensibility</x:v>
      </x:c>
    </x:row>
  </x:sheetData>
  <x:mergeCells>
    <x:mergeCell ref="A1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72" hidden="0" customWidth="1"/>
    <x:col min="5" max="5" width="20" hidden="0" customWidth="1"/>
    <x:col min="6" max="6" width="48" hidden="0" customWidth="1"/>
  </x:cols>
  <x:sheetData>
    <x:row r="1" ht="28" customHeight="1">
      <x:c r="A1" s="5" t="str">
        <x:v>Fuentes de investigación y trazabilidad</x:v>
      </x:c>
      <x:c r="B1" s="5"/>
      <x:c r="C1" s="5"/>
      <x:c r="D1" s="5"/>
      <x:c r="E1" s="5"/>
      <x:c r="F1" s="5"/>
    </x:row>
    <x:row r="2" ht="28" customHeight="1">
      <x:c r="A2" s="5"/>
      <x:c r="B2" s="5"/>
      <x:c r="C2" s="5"/>
      <x:c r="D2" s="5"/>
      <x:c r="E2" s="5"/>
      <x:c r="F2" s="5"/>
    </x:row>
    <x:row r="4">
      <x:c r="A4" s="13" t="str">
        <x:v>ID</x:v>
      </x:c>
      <x:c r="B4" s="13" t="str">
        <x:v>Empresa</x:v>
      </x:c>
      <x:c r="C4" s="13" t="str">
        <x:v>Tema</x:v>
      </x:c>
      <x:c r="D4" s="13" t="str">
        <x:v>URL</x:v>
      </x:c>
      <x:c r="E4" s="13" t="str">
        <x:v>Tipo de fuente</x:v>
      </x:c>
      <x:c r="F4" s="13" t="str">
        <x:v>Nota</x:v>
      </x:c>
    </x:row>
    <x:row r="5">
      <x:c r="A5" s="19" t="str">
        <x:v>S01</x:v>
      </x:c>
      <x:c r="B5" s="19" t="str">
        <x:v>TIKR</x:v>
      </x:c>
      <x:c r="C5" s="19" t="str">
        <x:v>Pricing</x:v>
      </x:c>
      <x:c r="D5" s="19" t="str">
        <x:v>https://www.tikr.com/pricing</x:v>
      </x:c>
      <x:c r="E5" s="19" t="str">
        <x:v>Oficial</x:v>
      </x:c>
      <x:c r="F5" s="19" t="str">
        <x:v>Free/Plus/Pro/Ultimate</x:v>
      </x:c>
    </x:row>
    <x:row r="6">
      <x:c r="A6" s="19" t="str">
        <x:v>S02</x:v>
      </x:c>
      <x:c r="B6" s="19" t="str">
        <x:v>TIKR</x:v>
      </x:c>
      <x:c r="C6" s="19" t="str">
        <x:v>Users / employees / company</x:v>
      </x:c>
      <x:c r="D6" s="19" t="str">
        <x:v>https://www.linkedin.com/company/tikrterminal</x:v>
      </x:c>
      <x:c r="E6" s="19" t="str">
        <x:v>LinkedIn</x:v>
      </x:c>
      <x:c r="F6" s="19" t="str">
        <x:v>500k+ investors; 11-50 employees</x:v>
      </x:c>
    </x:row>
    <x:row r="7">
      <x:c r="A7" s="19" t="str">
        <x:v>S03</x:v>
      </x:c>
      <x:c r="B7" s="19" t="str">
        <x:v>TIKR</x:v>
      </x:c>
      <x:c r="C7" s="19" t="str">
        <x:v>Data sources / API</x:v>
      </x:c>
      <x:c r="D7" s="19" t="str">
        <x:v>https://support.tikr.com/hc/en-us/articles/5403705233947-What-is-the-source-of-your-data-Why-is-there-a-potential-error-in-the-financial-data</x:v>
      </x:c>
      <x:c r="E7" s="19" t="str">
        <x:v>Oficial soporte</x:v>
      </x:c>
      <x:c r="F7" s="19" t="str">
        <x:v>Capital IQ/Morningstar/FMP; restrictions</x:v>
      </x:c>
    </x:row>
    <x:row r="8">
      <x:c r="A8" s="19" t="str">
        <x:v>S04</x:v>
      </x:c>
      <x:c r="B8" s="19" t="str">
        <x:v>Koyfin</x:v>
      </x:c>
      <x:c r="C8" s="19" t="str">
        <x:v>Pricing/features</x:v>
      </x:c>
      <x:c r="D8" s="19" t="str">
        <x:v>https://www.koyfin.com/pricing/plans-comparison/</x:v>
      </x:c>
      <x:c r="E8" s="19" t="str">
        <x:v>Oficial</x:v>
      </x:c>
      <x:c r="F8" s="19" t="str">
        <x:v>Free to Advisor Pro</x:v>
      </x:c>
    </x:row>
    <x:row r="9">
      <x:c r="A9" s="19" t="str">
        <x:v>S05</x:v>
      </x:c>
      <x:c r="B9" s="19" t="str">
        <x:v>Koyfin</x:v>
      </x:c>
      <x:c r="C9" s="19" t="str">
        <x:v>Users</x:v>
      </x:c>
      <x:c r="D9" s="19" t="str">
        <x:v>https://app.koyfin.com/register</x:v>
      </x:c>
      <x:c r="E9" s="19" t="str">
        <x:v>Oficial</x:v>
      </x:c>
      <x:c r="F9" s="19" t="str">
        <x:v>500k+ investors</x:v>
      </x:c>
    </x:row>
    <x:row r="10">
      <x:c r="A10" s="19" t="str">
        <x:v>S06</x:v>
      </x:c>
      <x:c r="B10" s="19" t="str">
        <x:v>Stock Rover</x:v>
      </x:c>
      <x:c r="C10" s="19" t="str">
        <x:v>Pricing/features</x:v>
      </x:c>
      <x:c r="D10" s="19" t="str">
        <x:v>https://www.stockrover.com/plans/</x:v>
      </x:c>
      <x:c r="E10" s="19" t="str">
        <x:v>Oficial</x:v>
      </x:c>
      <x:c r="F10" s="19" t="str">
        <x:v>Plans and coverage</x:v>
      </x:c>
    </x:row>
    <x:row r="11">
      <x:c r="A11" s="19" t="str">
        <x:v>S07</x:v>
      </x:c>
      <x:c r="B11" s="19" t="str">
        <x:v>Fiscal.ai</x:v>
      </x:c>
      <x:c r="C11" s="19" t="str">
        <x:v>Pricing/features</x:v>
      </x:c>
      <x:c r="D11" s="19" t="str">
        <x:v>https://fiscal.ai/pricing/</x:v>
      </x:c>
      <x:c r="E11" s="19" t="str">
        <x:v>Oficial</x:v>
      </x:c>
      <x:c r="F11" s="19" t="str">
        <x:v>Pro $39; Enterprise $199</x:v>
      </x:c>
    </x:row>
    <x:row r="12">
      <x:c r="A12" s="19" t="str">
        <x:v>S08</x:v>
      </x:c>
      <x:c r="B12" s="19" t="str">
        <x:v>Quartr</x:v>
      </x:c>
      <x:c r="C12" s="19" t="str">
        <x:v>2026 funding/customers</x:v>
      </x:c>
      <x:c r="D12" s="19" t="str">
        <x:v>https://quartr.com/newsroom/press-release/quartr-raises-18m-to-extend-its-global-leadership-in-first-party-ir-data</x:v>
      </x:c>
      <x:c r="E12" s="19" t="str">
        <x:v>Oficial</x:v>
      </x:c>
      <x:c r="F12" s="19" t="str">
        <x:v>$18m; 800+ institutions/tech; NRR ~120%</x:v>
      </x:c>
    </x:row>
    <x:row r="13">
      <x:c r="A13" s="19" t="str">
        <x:v>S09</x:v>
      </x:c>
      <x:c r="B13" s="19" t="str">
        <x:v>Quartr</x:v>
      </x:c>
      <x:c r="C13" s="19" t="str">
        <x:v>MCP/Codex</x:v>
      </x:c>
      <x:c r="D13" s="19" t="str">
        <x:v>https://quartr.com/newsroom/press-release/quartr-is-now-available-in-openais-codex-via-mcp</x:v>
      </x:c>
      <x:c r="E13" s="19" t="str">
        <x:v>Oficial</x:v>
      </x:c>
      <x:c r="F13" s="19" t="str">
        <x:v>Codex/MCP integration</x:v>
      </x:c>
    </x:row>
    <x:row r="14">
      <x:c r="A14" s="19" t="str">
        <x:v>S10</x:v>
      </x:c>
      <x:c r="B14" s="19" t="str">
        <x:v>AlphaSense</x:v>
      </x:c>
      <x:c r="C14" s="19" t="str">
        <x:v>ARR/funding/valuation</x:v>
      </x:c>
      <x:c r="D14" s="19" t="str">
        <x:v>https://www.alpha-sense.com/press/alphasense-raises-350m-at-7-5b-valuation-and-surpasses-600m-in-annual-recurring-revenue/</x:v>
      </x:c>
      <x:c r="E14" s="19" t="str">
        <x:v>Oficial</x:v>
      </x:c>
      <x:c r="F14" s="19" t="str">
        <x:v>&gt;$600m ARR Q1 2026; $7.5b valuation; $350m round</x:v>
      </x:c>
    </x:row>
    <x:row r="15">
      <x:c r="A15" s="19" t="str">
        <x:v>S11</x:v>
      </x:c>
      <x:c r="B15" s="19" t="str">
        <x:v>Simply Wall St</x:v>
      </x:c>
      <x:c r="C15" s="19" t="str">
        <x:v>Company/users/history</x:v>
      </x:c>
      <x:c r="D15" s="19" t="str">
        <x:v>https://simplywall.st/about</x:v>
      </x:c>
      <x:c r="E15" s="19" t="str">
        <x:v>Oficial</x:v>
      </x:c>
      <x:c r="F15" s="19" t="str">
        <x:v>7m+ users; founded 2014; funding/profitability history</x:v>
      </x:c>
    </x:row>
    <x:row r="16">
      <x:c r="A16" s="19" t="str">
        <x:v>S12</x:v>
      </x:c>
      <x:c r="B16" s="19" t="str">
        <x:v>Simply Wall St</x:v>
      </x:c>
      <x:c r="C16" s="19" t="str">
        <x:v>Data source</x:v>
      </x:c>
      <x:c r="D16" s="19" t="str">
        <x:v>https://support.simplywall.st/hc/en-us/articles/8908651462543-Where-do-you-source-financial-data</x:v>
      </x:c>
      <x:c r="E16" s="19" t="str">
        <x:v>Oficial soporte</x:v>
      </x:c>
      <x:c r="F16" s="19" t="str">
        <x:v>S&amp;P Global Market Intelligence</x:v>
      </x:c>
    </x:row>
    <x:row r="17">
      <x:c r="A17" s="19" t="str">
        <x:v>S13</x:v>
      </x:c>
      <x:c r="B17" s="19" t="str">
        <x:v>GuruFocus</x:v>
      </x:c>
      <x:c r="C17" s="19" t="str">
        <x:v>Premium users/pricing</x:v>
      </x:c>
      <x:c r="D17" s="19" t="str">
        <x:v>https://www.gurufocus.com/pricing?ROCO%3A3211=&amp;sel=premium</x:v>
      </x:c>
      <x:c r="E17" s="19" t="str">
        <x:v>Oficial</x:v>
      </x:c>
      <x:c r="F17" s="19" t="str">
        <x:v>40,946 premium; $549/year</x:v>
      </x:c>
    </x:row>
    <x:row r="18">
      <x:c r="A18" s="19" t="str">
        <x:v>S14</x:v>
      </x:c>
      <x:c r="B18" s="19" t="str">
        <x:v>Finviz</x:v>
      </x:c>
      <x:c r="C18" s="19" t="str">
        <x:v>Pricing/features</x:v>
      </x:c>
      <x:c r="D18" s="19" t="str">
        <x:v>https://finviz.com/elite</x:v>
      </x:c>
      <x:c r="E18" s="19" t="str">
        <x:v>Oficial</x:v>
      </x:c>
      <x:c r="F18" s="19" t="str">
        <x:v>$39.50 monthly; $299.50 annual; API/export</x:v>
      </x:c>
    </x:row>
    <x:row r="19">
      <x:c r="A19" s="19" t="str">
        <x:v>S15</x:v>
      </x:c>
      <x:c r="B19" s="19" t="str">
        <x:v>TipRanks</x:v>
      </x:c>
      <x:c r="C19" s="19" t="str">
        <x:v>Funding/users/B2B</x:v>
      </x:c>
      <x:c r="D19" s="19" t="str">
        <x:v>https://www.tipranks.com/news/labs/tipranks-receives-77-million-investment-to-support-retail-investor-frenzy</x:v>
      </x:c>
      <x:c r="E19" s="19" t="str">
        <x:v>Oficial</x:v>
      </x:c>
      <x:c r="F19" s="19" t="str">
        <x:v>$77m 2021; 4m monthly users; 300% subscription growth in cited year</x:v>
      </x:c>
    </x:row>
    <x:row r="20">
      <x:c r="A20" s="19" t="str">
        <x:v>S16</x:v>
      </x:c>
      <x:c r="B20" s="19" t="str">
        <x:v>Seeking Alpha</x:v>
      </x:c>
      <x:c r="C20" s="19" t="str">
        <x:v>Audience/community</x:v>
      </x:c>
      <x:c r="D20" s="19" t="str">
        <x:v>https://about.seekingalpha.com/</x:v>
      </x:c>
      <x:c r="E20" s="19" t="str">
        <x:v>Oficial</x:v>
      </x:c>
      <x:c r="F20" s="19" t="str">
        <x:v>20m monthly visitors; 2.6m newsletter/RTA; 18k analysts</x:v>
      </x:c>
    </x:row>
    <x:row r="21">
      <x:c r="A21" s="19" t="str">
        <x:v>S17</x:v>
      </x:c>
      <x:c r="B21" s="19" t="str">
        <x:v>Quartr</x:v>
      </x:c>
      <x:c r="C21" s="19" t="str">
        <x:v>Historical revenue</x:v>
      </x:c>
      <x:c r="D21" s="19" t="str">
        <x:v>https://www.cbinsights.com/company/quartr/financials</x:v>
      </x:c>
      <x:c r="E21" s="19" t="str">
        <x:v>Tercera fuente</x:v>
      </x:c>
      <x:c r="F21" s="19" t="str">
        <x:v>$2.12m revenue 2024; external source</x:v>
      </x:c>
    </x:row>
    <x:row r="22">
      <x:c r="A22" s="19" t="str">
        <x:v>S18</x:v>
      </x:c>
      <x:c r="B22" s="19" t="str">
        <x:v>Koyfin</x:v>
      </x:c>
      <x:c r="C22" s="19" t="str">
        <x:v>Historical revenue estimate</x:v>
      </x:c>
      <x:c r="D22" s="19" t="str">
        <x:v>https://www.lazyweb.com/company/koyfin</x:v>
      </x:c>
      <x:c r="E22" s="19" t="str">
        <x:v>Tercera fuente</x:v>
      </x:c>
      <x:c r="F22" s="19" t="str">
        <x:v>~$4.3m revenue 2024; external estimate</x:v>
      </x:c>
    </x:row>
    <x:row r="23">
      <x:c r="A23" t="str">
        <x:v>S19</x:v>
      </x:c>
      <x:c r="B23" t="str">
        <x:v>Fiscal.ai</x:v>
      </x:c>
      <x:c r="C23" t="str">
        <x:v>Historical ARR estimate</x:v>
      </x:c>
      <x:c r="D23" t="str">
        <x:v>https://www.starterstory.com/finchat-breakdown</x:v>
      </x:c>
      <x:c r="E23" t="str">
        <x:v>Tercera fuente</x:v>
      </x:c>
      <x:c r="F23" t="str">
        <x:v>~$1m ARR historical; external estimate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5" t="str">
        <x:v>Supuestos y reglas de interpretación</x:v>
      </x:c>
      <x:c r="B1" s="5"/>
      <x:c r="C1" s="5"/>
      <x:c r="D1" s="5"/>
      <x:c r="E1" s="5"/>
      <x:c r="F1" s="5"/>
    </x:row>
    <x:row r="2" ht="28" customHeight="1">
      <x:c r="A2" s="5"/>
      <x:c r="B2" s="5"/>
      <x:c r="C2" s="5"/>
      <x:c r="D2" s="5"/>
      <x:c r="E2" s="5"/>
      <x:c r="F2" s="5"/>
    </x:row>
    <x:row r="4">
      <x:c r="A4" s="13" t="str">
        <x:v>Variable</x:v>
      </x:c>
      <x:c r="B4" s="13" t="str">
        <x:v>Valor</x:v>
      </x:c>
      <x:c r="C4" s="13" t="str">
        <x:v>Unidad</x:v>
      </x:c>
      <x:c r="D4" s="13" t="str">
        <x:v>Uso</x:v>
      </x:c>
      <x:c r="E4" s="13" t="str">
        <x:v>Origen</x:v>
      </x:c>
      <x:c r="F4" s="13" t="str">
        <x:v>Advertencia</x:v>
      </x:c>
    </x:row>
    <x:row r="5">
      <x:c r="A5" s="19" t="str">
        <x:v>ARPU retail base</x:v>
      </x:c>
      <x:c r="B5" s="62" t="n">
        <x:v>45</x:v>
      </x:c>
      <x:c r="C5" s="19" t="str">
        <x:v>$/mes</x:v>
      </x:c>
      <x:c r="D5" s="19" t="str">
        <x:v>Scenario TIKR/Koyfin-like</x:v>
      </x:c>
      <x:c r="E5" s="19" t="str">
        <x:v>Analista</x:v>
      </x:c>
      <x:c r="F5" s="19" t="str">
        <x:v>No es precio observado</x:v>
      </x:c>
    </x:row>
    <x:row r="6">
      <x:c r="A6" s="19" t="str">
        <x:v>ARPU pro base</x:v>
      </x:c>
      <x:c r="B6" s="62" t="n">
        <x:v>60</x:v>
      </x:c>
      <x:c r="C6" s="19" t="str">
        <x:v>$/mes</x:v>
      </x:c>
      <x:c r="D6" s="19" t="str">
        <x:v>Scenario Pro</x:v>
      </x:c>
      <x:c r="E6" s="19" t="str">
        <x:v>Analista</x:v>
      </x:c>
      <x:c r="F6" s="19" t="str">
        <x:v>No es benchmark</x:v>
      </x:c>
    </x:row>
    <x:row r="7">
      <x:c r="A7" s="19" t="str">
        <x:v>ARPU advisor</x:v>
      </x:c>
      <x:c r="B7" s="62" t="n">
        <x:v>250</x:v>
      </x:c>
      <x:c r="C7" s="19" t="str">
        <x:v>$/mes</x:v>
      </x:c>
      <x:c r="D7" s="19" t="str">
        <x:v>Scenario B2B</x:v>
      </x:c>
      <x:c r="E7" s="19" t="str">
        <x:v>Analista</x:v>
      </x:c>
      <x:c r="F7" s="19" t="str">
        <x:v>No es precio universal</x:v>
      </x:c>
    </x:row>
    <x:row r="8">
      <x:c r="A8" s="19" t="str">
        <x:v>Gross margin</x:v>
      </x:c>
      <x:c r="B8" s="66" t="n">
        <x:v>0.75</x:v>
      </x:c>
      <x:c r="C8" s="19" t="str">
        <x:v>%</x:v>
      </x:c>
      <x:c r="D8" s="19" t="str">
        <x:v>LTV</x:v>
      </x:c>
      <x:c r="E8" s="19" t="str">
        <x:v>Supuesto</x:v>
      </x:c>
      <x:c r="F8" s="19" t="str">
        <x:v>Sensibilidad alta</x:v>
      </x:c>
    </x:row>
    <x:row r="9">
      <x:c r="A9" s="19" t="str">
        <x:v>Churn retail</x:v>
      </x:c>
      <x:c r="B9" s="66" t="n">
        <x:v>0.03</x:v>
      </x:c>
      <x:c r="C9" s="19" t="str">
        <x:v>% mensual</x:v>
      </x:c>
      <x:c r="D9" s="19" t="str">
        <x:v>LTV</x:v>
      </x:c>
      <x:c r="E9" s="19" t="str">
        <x:v>Supuesto</x:v>
      </x:c>
      <x:c r="F9" s="19" t="str">
        <x:v>No es dato TIKR</x:v>
      </x:c>
    </x:row>
    <x:row r="10">
      <x:c r="A10" s="19" t="str">
        <x:v>Churn B2B</x:v>
      </x:c>
      <x:c r="B10" s="68" t="n">
        <x:v>0.01</x:v>
      </x:c>
      <x:c r="C10" s="19" t="str">
        <x:v>% mensual</x:v>
      </x:c>
      <x:c r="D10" s="19" t="str">
        <x:v>LTV</x:v>
      </x:c>
      <x:c r="E10" s="19" t="str">
        <x:v>Supuesto</x:v>
      </x:c>
      <x:c r="F10" s="19" t="str">
        <x:v>No es dato de mercado</x:v>
      </x:c>
    </x:row>
    <x:row r="11">
      <x:c r="A11" s="19" t="str">
        <x:v>CAC retail</x:v>
      </x:c>
      <x:c r="B11" s="68" t="n">
        <x:v>150</x:v>
      </x:c>
      <x:c r="C11" s="19" t="str">
        <x:v>$/cliente</x:v>
      </x:c>
      <x:c r="D11" s="19" t="str">
        <x:v>LTV/CAC</x:v>
      </x:c>
      <x:c r="E11" s="19" t="str">
        <x:v>Supuesto</x:v>
      </x:c>
      <x:c r="F11" s="19" t="str">
        <x:v>Validar con canal</x:v>
      </x:c>
    </x:row>
    <x:row r="12">
      <x:c r="A12" s="19" t="str">
        <x:v>CAC advisor</x:v>
      </x:c>
      <x:c r="B12" s="66" t="n">
        <x:v>1500</x:v>
      </x:c>
      <x:c r="C12" s="19" t="str">
        <x:v>$/cliente</x:v>
      </x:c>
      <x:c r="D12" s="19" t="str">
        <x:v>LTV/CAC</x:v>
      </x:c>
      <x:c r="E12" s="19" t="str">
        <x:v>Supuesto</x:v>
      </x:c>
      <x:c r="F12" s="19" t="str">
        <x:v>Depende de outbound</x:v>
      </x:c>
    </x:row>
    <x:row r="13">
      <x:c r="A13" s="19" t="str">
        <x:v>Paid conversion low</x:v>
      </x:c>
      <x:c r="B13" s="66" t="n">
        <x:v>0.01</x:v>
      </x:c>
      <x:c r="C13" s="19" t="str">
        <x:v>%</x:v>
      </x:c>
      <x:c r="D13" s="19" t="str">
        <x:v>Users→paid</x:v>
      </x:c>
      <x:c r="E13" s="19" t="str">
        <x:v>Analista</x:v>
      </x:c>
      <x:c r="F13" s="19" t="str">
        <x:v>1%</x:v>
      </x:c>
    </x:row>
    <x:row r="14">
      <x:c r="A14" s="19" t="str">
        <x:v>Paid conversion base</x:v>
      </x:c>
      <x:c r="B14" s="66" t="n">
        <x:v>0.03</x:v>
      </x:c>
      <x:c r="C14" s="19" t="str">
        <x:v>%</x:v>
      </x:c>
      <x:c r="D14" s="19" t="str">
        <x:v>Users→paid</x:v>
      </x:c>
      <x:c r="E14" s="19" t="str">
        <x:v>Analista</x:v>
      </x:c>
      <x:c r="F14" s="19" t="str">
        <x:v>3%</x:v>
      </x:c>
    </x:row>
    <x:row r="15">
      <x:c r="A15" s="19" t="str">
        <x:v>Paid conversion high</x:v>
      </x:c>
      <x:c r="B15" s="48" t="n">
        <x:v>0.05</x:v>
      </x:c>
      <x:c r="C15" s="19" t="str">
        <x:v>%</x:v>
      </x:c>
      <x:c r="D15" s="19" t="str">
        <x:v>Users→paid</x:v>
      </x:c>
      <x:c r="E15" s="19" t="str">
        <x:v>Analista</x:v>
      </x:c>
      <x:c r="F15" s="19" t="str">
        <x:v>5%</x:v>
      </x:c>
    </x:row>
    <x:row r="16">
      <x:c r="A16" s="19" t="str">
        <x:v>TIKR user base</x:v>
      </x:c>
      <x:c r="B16" s="74" t="n">
        <x:v>500000</x:v>
      </x:c>
      <x:c r="C16" s="19" t="str">
        <x:v>usuarios</x:v>
      </x:c>
      <x:c r="D16" s="19" t="str">
        <x:v>Scale context</x:v>
      </x:c>
      <x:c r="E16" s="19" t="str">
        <x:v>TIKR/LinkedIn</x:v>
      </x:c>
      <x:c r="F16" s="19" t="str">
        <x:v>500k+ declarado</x:v>
      </x:c>
    </x:row>
  </x:sheetData>
  <x:mergeCells>
    <x:mergeCell ref="A1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0" hidden="0" customWidth="1"/>
    <x:col min="10" max="10" width="20" hidden="0" customWidth="1"/>
    <x:col min="11" max="11" width="36" hidden="0" customWidth="1"/>
    <x:col min="12" max="12" width="28" hidden="0" customWidth="1"/>
    <x:col min="13" max="13" width="40" hidden="0" customWidth="1"/>
  </x:cols>
  <x:sheetData>
    <x:row r="1" ht="28" customHeight="1">
      <x:c r="A1" s="5" t="str">
        <x:v>Estructura de costos competitiva — intensidad relativa (1 bajo / 5 muy alto)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Empresa</x:v>
      </x:c>
      <x:c r="B4" s="13" t="str">
        <x:v>Licencias de datos</x:v>
      </x:c>
      <x:c r="C4" s="13" t="str">
        <x:v>Market data</x:v>
      </x:c>
      <x:c r="D4" s="13" t="str">
        <x:v>Transcripts/IR</x:v>
      </x:c>
      <x:c r="E4" s="13" t="str">
        <x:v>AI inference</x:v>
      </x:c>
      <x:c r="F4" s="13" t="str">
        <x:v>Cloud/storage</x:v>
      </x:c>
      <x:c r="G4" s="13" t="str">
        <x:v>Personal especializado</x:v>
      </x:c>
      <x:c r="H4" s="13" t="str">
        <x:v>Sales &amp; support</x:v>
      </x:c>
      <x:c r="J4" s="13" t="str">
        <x:v>Driver</x:v>
      </x:c>
      <x:c r="K4" s="13" t="str">
        <x:v>Qué incluye</x:v>
      </x:c>
      <x:c r="L4" s="13" t="str">
        <x:v>Por qué importa</x:v>
      </x:c>
      <x:c r="M4" s="13" t="str">
        <x:v>Respuesta estratégica</x:v>
      </x:c>
    </x:row>
    <x:row r="5">
      <x:c r="A5" s="19" t="str">
        <x:v>TIKR</x:v>
      </x:c>
      <x:c r="B5" s="19" t="n">
        <x:v>5</x:v>
      </x:c>
      <x:c r="C5" s="19" t="n">
        <x:v>4</x:v>
      </x:c>
      <x:c r="D5" s="19" t="n">
        <x:v>4</x:v>
      </x:c>
      <x:c r="E5" s="19" t="n">
        <x:v>2</x:v>
      </x:c>
      <x:c r="F5" s="19" t="n">
        <x:v>2</x:v>
      </x:c>
      <x:c r="G5" s="19" t="n">
        <x:v>3</x:v>
      </x:c>
      <x:c r="H5" s="19" t="n">
        <x:v>2</x:v>
      </x:c>
      <x:c r="J5" s="19" t="str">
        <x:v>Licencias de datos</x:v>
      </x:c>
      <x:c r="K5" s="19" t="str">
        <x:v>Fundamentals, estimates, market data</x:v>
      </x:c>
      <x:c r="L5" s="19" t="str">
        <x:v>Puede limitar margen y API</x:v>
      </x:c>
      <x:c r="M5" s="19" t="str">
        <x:v>Public-first + premium licensed layer</x:v>
      </x:c>
    </x:row>
    <x:row r="6">
      <x:c r="A6" s="19" t="str">
        <x:v>Koyfin</x:v>
      </x:c>
      <x:c r="B6" s="19" t="n">
        <x:v>5</x:v>
      </x:c>
      <x:c r="C6" s="19" t="n">
        <x:v>5</x:v>
      </x:c>
      <x:c r="D6" s="19" t="n">
        <x:v>4</x:v>
      </x:c>
      <x:c r="E6" s="19" t="n">
        <x:v>2</x:v>
      </x:c>
      <x:c r="F6" s="19" t="n">
        <x:v>2</x:v>
      </x:c>
      <x:c r="G6" s="19" t="n">
        <x:v>3</x:v>
      </x:c>
      <x:c r="H6" s="19" t="n">
        <x:v>3</x:v>
      </x:c>
      <x:c r="J6" s="19" t="str">
        <x:v>Market data</x:v>
      </x:c>
      <x:c r="K6" s="19" t="str">
        <x:v>Quotes, exchange feeds</x:v>
      </x:c>
      <x:c r="L6" s="19" t="str">
        <x:v>Real-time puede encarecer</x:v>
      </x:c>
      <x:c r="M6" s="19" t="str">
        <x:v>Tier delayed/free + paid realtime</x:v>
      </x:c>
    </x:row>
    <x:row r="7">
      <x:c r="A7" s="19" t="str">
        <x:v>Stock Rover</x:v>
      </x:c>
      <x:c r="B7" s="19" t="n">
        <x:v>4</x:v>
      </x:c>
      <x:c r="C7" s="19" t="n">
        <x:v>5</x:v>
      </x:c>
      <x:c r="D7" s="19" t="n">
        <x:v>3</x:v>
      </x:c>
      <x:c r="E7" s="19" t="n">
        <x:v>1</x:v>
      </x:c>
      <x:c r="F7" s="19" t="n">
        <x:v>2</x:v>
      </x:c>
      <x:c r="G7" s="19" t="n">
        <x:v>3</x:v>
      </x:c>
      <x:c r="H7" s="19" t="n">
        <x:v>2</x:v>
      </x:c>
      <x:c r="J7" s="19" t="str">
        <x:v>Transcripts/IR</x:v>
      </x:c>
      <x:c r="K7" s="19" t="str">
        <x:v>Calls, slides, filings</x:v>
      </x:c>
      <x:c r="L7" s="19" t="str">
        <x:v>Derechos y procesamiento</x:v>
      </x:c>
      <x:c r="M7" s="19" t="str">
        <x:v>First-party / licensed</x:v>
      </x:c>
    </x:row>
    <x:row r="8">
      <x:c r="A8" s="19" t="str">
        <x:v>Fiscal.ai</x:v>
      </x:c>
      <x:c r="B8" s="19" t="n">
        <x:v>4</x:v>
      </x:c>
      <x:c r="C8" s="19" t="n">
        <x:v>4</x:v>
      </x:c>
      <x:c r="D8" s="19" t="n">
        <x:v>4</x:v>
      </x:c>
      <x:c r="E8" s="19" t="n">
        <x:v>5</x:v>
      </x:c>
      <x:c r="F8" s="19" t="n">
        <x:v>3</x:v>
      </x:c>
      <x:c r="G8" s="19" t="n">
        <x:v>3</x:v>
      </x:c>
      <x:c r="H8" s="19" t="n">
        <x:v>2</x:v>
      </x:c>
      <x:c r="J8" s="19" t="str">
        <x:v>AI inference</x:v>
      </x:c>
      <x:c r="K8" s="19" t="str">
        <x:v>LLM calls, embeddings, agents</x:v>
      </x:c>
      <x:c r="L8" s="19" t="str">
        <x:v>Escala con uso</x:v>
      </x:c>
      <x:c r="M8" s="19" t="str">
        <x:v>Caching + routing + quotas</x:v>
      </x:c>
    </x:row>
    <x:row r="9">
      <x:c r="A9" s="19" t="str">
        <x:v>Quartr</x:v>
      </x:c>
      <x:c r="B9" s="19" t="n">
        <x:v>4</x:v>
      </x:c>
      <x:c r="C9" s="19" t="n">
        <x:v>4</x:v>
      </x:c>
      <x:c r="D9" s="19" t="n">
        <x:v>5</x:v>
      </x:c>
      <x:c r="E9" s="19" t="n">
        <x:v>5</x:v>
      </x:c>
      <x:c r="F9" s="19" t="n">
        <x:v>3</x:v>
      </x:c>
      <x:c r="G9" s="19" t="n">
        <x:v>4</x:v>
      </x:c>
      <x:c r="H9" s="19" t="n">
        <x:v>5</x:v>
      </x:c>
      <x:c r="J9" s="19" t="str">
        <x:v>Cloud/storage</x:v>
      </x:c>
      <x:c r="K9" s="19" t="str">
        <x:v>DB, search, object storage</x:v>
      </x:c>
      <x:c r="L9" s="19" t="str">
        <x:v>Escala con users/data</x:v>
      </x:c>
      <x:c r="M9" s="19" t="str">
        <x:v>Cost-aware architecture</x:v>
      </x:c>
    </x:row>
    <x:row r="10">
      <x:c r="A10" s="19" t="str">
        <x:v>AlphaSense</x:v>
      </x:c>
      <x:c r="B10" s="19" t="n">
        <x:v>5</x:v>
      </x:c>
      <x:c r="C10" s="19" t="n">
        <x:v>5</x:v>
      </x:c>
      <x:c r="D10" s="19" t="n">
        <x:v>5</x:v>
      </x:c>
      <x:c r="E10" s="19" t="n">
        <x:v>5</x:v>
      </x:c>
      <x:c r="F10" s="19" t="n">
        <x:v>5</x:v>
      </x:c>
      <x:c r="G10" s="19" t="n">
        <x:v>5</x:v>
      </x:c>
      <x:c r="H10" s="19" t="n">
        <x:v>5</x:v>
      </x:c>
      <x:c r="J10" s="19" t="str">
        <x:v>People</x:v>
      </x:c>
      <x:c r="K10" s="19" t="str">
        <x:v>Data engineering, AI, sales</x:v>
      </x:c>
      <x:c r="L10" s="19" t="str">
        <x:v>Principal costo fijo</x:v>
      </x:c>
      <x:c r="M10" s="19" t="str">
        <x:v>Lean team + automation</x:v>
      </x:c>
    </x:row>
    <x:row r="11">
      <x:c r="A11" s="19" t="str">
        <x:v>Seeking Alpha</x:v>
      </x:c>
      <x:c r="B11" s="19" t="n">
        <x:v>3</x:v>
      </x:c>
      <x:c r="C11" s="19" t="n">
        <x:v>4</x:v>
      </x:c>
      <x:c r="D11" s="19" t="n">
        <x:v>5</x:v>
      </x:c>
      <x:c r="E11" s="19" t="n">
        <x:v>4</x:v>
      </x:c>
      <x:c r="F11" s="19" t="n">
        <x:v>3</x:v>
      </x:c>
      <x:c r="G11" s="19" t="n">
        <x:v>5</x:v>
      </x:c>
      <x:c r="H11" s="19" t="n">
        <x:v>4</x:v>
      </x:c>
      <x:c r="J11" s="19" t="str">
        <x:v>Sales/support</x:v>
      </x:c>
      <x:c r="K11" s="19" t="str">
        <x:v>Outbound, success, onboarding</x:v>
      </x:c>
      <x:c r="L11" s="19" t="str">
        <x:v>Sube con B2B</x:v>
      </x:c>
      <x:c r="M11" s="19" t="str">
        <x:v>PLG retail + sales-assisted B2B</x:v>
      </x:c>
    </x:row>
    <x:row r="12">
      <x:c r="A12" s="19" t="str">
        <x:v>Simply Wall St</x:v>
      </x:c>
      <x:c r="B12" s="19" t="n">
        <x:v>4</x:v>
      </x:c>
      <x:c r="C12" s="19" t="n">
        <x:v>4</x:v>
      </x:c>
      <x:c r="D12" s="19" t="n">
        <x:v>2</x:v>
      </x:c>
      <x:c r="E12" s="19" t="n">
        <x:v>2</x:v>
      </x:c>
      <x:c r="F12" s="19" t="n">
        <x:v>2</x:v>
      </x:c>
      <x:c r="G12" s="19" t="n">
        <x:v>3</x:v>
      </x:c>
      <x:c r="H12" s="19" t="n">
        <x:v>2</x:v>
      </x:c>
      <x:c r="J12" s="19"/>
      <x:c r="K12" s="19"/>
      <x:c r="L12" s="19"/>
      <x:c r="M12" s="19"/>
    </x:row>
    <x:row r="13">
      <x:c r="A13" s="19" t="str">
        <x:v>GuruFocus</x:v>
      </x:c>
      <x:c r="B13" s="19" t="n">
        <x:v>4</x:v>
      </x:c>
      <x:c r="C13" s="19" t="n">
        <x:v>4</x:v>
      </x:c>
      <x:c r="D13" s="19" t="n">
        <x:v>3</x:v>
      </x:c>
      <x:c r="E13" s="19" t="n">
        <x:v>2</x:v>
      </x:c>
      <x:c r="F13" s="19" t="n">
        <x:v>2</x:v>
      </x:c>
      <x:c r="G13" s="19" t="n">
        <x:v>3</x:v>
      </x:c>
      <x:c r="H13" s="19" t="n">
        <x:v>2</x:v>
      </x:c>
    </x:row>
    <x:row r="14">
      <x:c r="A14" s="19" t="str">
        <x:v>Finviz</x:v>
      </x:c>
      <x:c r="B14" s="19" t="n">
        <x:v>3</x:v>
      </x:c>
      <x:c r="C14" s="19" t="n">
        <x:v>4</x:v>
      </x:c>
      <x:c r="D14" s="19" t="n">
        <x:v>1</x:v>
      </x:c>
      <x:c r="E14" s="19" t="n">
        <x:v>1</x:v>
      </x:c>
      <x:c r="F14" s="19" t="n">
        <x:v>1</x:v>
      </x:c>
      <x:c r="G14" s="19" t="n">
        <x:v>2</x:v>
      </x:c>
      <x:c r="H14" s="19" t="n">
        <x:v>1</x:v>
      </x:c>
    </x:row>
    <x:row r="15">
      <x:c r="A15" s="19" t="str">
        <x:v>TipRanks</x:v>
      </x:c>
      <x:c r="B15" s="19" t="n">
        <x:v>4</x:v>
      </x:c>
      <x:c r="C15" s="19" t="n">
        <x:v>5</x:v>
      </x:c>
      <x:c r="D15" s="19" t="n">
        <x:v>4</x:v>
      </x:c>
      <x:c r="E15" s="19" t="n">
        <x:v>3</x:v>
      </x:c>
      <x:c r="F15" s="19" t="n">
        <x:v>3</x:v>
      </x:c>
      <x:c r="G15" s="19" t="n">
        <x:v>4</x:v>
      </x:c>
      <x:c r="H15" s="19" t="n">
        <x:v>5</x:v>
      </x:c>
    </x:row>
    <x:row r="16">
      <x:c r="A16" s="19" t="str">
        <x:v>YCharts</x:v>
      </x:c>
      <x:c r="B16" s="19" t="n">
        <x:v>5</x:v>
      </x:c>
      <x:c r="C16" s="19" t="n">
        <x:v>5</x:v>
      </x:c>
      <x:c r="D16" s="19" t="n">
        <x:v>3</x:v>
      </x:c>
      <x:c r="E16" s="19" t="n">
        <x:v>2</x:v>
      </x:c>
      <x:c r="F16" s="19" t="n">
        <x:v>2</x:v>
      </x:c>
      <x:c r="G16" s="19" t="n">
        <x:v>4</x:v>
      </x:c>
      <x:c r="H16" s="19" t="n">
        <x:v>5</x:v>
      </x:c>
    </x:row>
  </x:sheetData>
  <x:mergeCells>
    <x:mergeCell ref="A1:H2"/>
  </x:mergeCells>
  <x:conditionalFormatting sqref="B5:H16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8be31aaa31d4ff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8" hidden="0" customWidth="1"/>
    <x:col min="7" max="7" width="18" hidden="0" customWidth="1"/>
    <x:col min="8" max="8" width="15" hidden="0" customWidth="1"/>
    <x:col min="9" max="9" width="22" hidden="0" customWidth="1"/>
    <x:col min="10" max="10" width="14" hidden="0" customWidth="1"/>
    <x:col min="11" max="11" width="34" hidden="0" customWidth="1"/>
  </x:cols>
  <x:sheetData>
    <x:row r="1" ht="28" customHeight="1">
      <x:c r="A1" s="5" t="str">
        <x:v>Modelo de oportunidad — cómo superar a TIKR económicamente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13" t="str">
        <x:v>Escenario</x:v>
      </x:c>
      <x:c r="B4" s="13" t="str">
        <x:v>Usuarios activos</x:v>
      </x:c>
      <x:c r="C4" s="13" t="str">
        <x:v>% pago</x:v>
      </x:c>
      <x:c r="D4" s="13" t="str">
        <x:v>Pagos</x:v>
      </x:c>
      <x:c r="E4" s="13" t="str">
        <x:v>ARPU ($/mes)</x:v>
      </x:c>
      <x:c r="F4" s="13" t="str">
        <x:v>MRR ($)</x:v>
      </x:c>
      <x:c r="G4" s="13" t="str">
        <x:v>ARR ($)</x:v>
      </x:c>
      <x:c r="H4" s="13" t="str">
        <x:v>Gross margin</x:v>
      </x:c>
      <x:c r="I4" s="13" t="str">
        <x:v>Gross profit ARR ($)</x:v>
      </x:c>
      <x:c r="J4" s="13" t="str">
        <x:v>CAC ($)</x:v>
      </x:c>
      <x:c r="K4" s="13" t="str">
        <x:v>Comentario</x:v>
      </x:c>
    </x:row>
    <x:row r="5">
      <x:c r="A5" s="19" t="str">
        <x:v>Early</x:v>
      </x:c>
      <x:c r="B5" s="74" t="n">
        <x:v>1000</x:v>
      </x:c>
      <x:c r="C5" s="66" t="n">
        <x:v>0.05</x:v>
      </x:c>
      <x:c r="D5" s="78" t="n">
        <x:f>B5*C5</x:f>
        <x:v>50</x:v>
      </x:c>
      <x:c r="E5" s="62" t="n">
        <x:v>29</x:v>
      </x:c>
      <x:c r="F5" s="64" t="n">
        <x:f>D5*E5</x:f>
        <x:v>1450</x:v>
      </x:c>
      <x:c r="G5" s="64" t="n">
        <x:f>F5*12</x:f>
        <x:v>17400</x:v>
      </x:c>
      <x:c r="H5" s="80" t="n">
        <x:v>0.75</x:v>
      </x:c>
      <x:c r="I5" s="64" t="n">
        <x:f>G5*H5</x:f>
        <x:v>13050</x:v>
      </x:c>
      <x:c r="J5" s="68" t="n">
        <x:v>120</x:v>
      </x:c>
      <x:c r="K5" s="19" t="str">
        <x:v>Validación de PMF</x:v>
      </x:c>
    </x:row>
    <x:row r="6">
      <x:c r="A6" s="19" t="str">
        <x:v>Traction</x:v>
      </x:c>
      <x:c r="B6" s="74" t="n">
        <x:v>10000</x:v>
      </x:c>
      <x:c r="C6" s="66" t="n">
        <x:v>0.05</x:v>
      </x:c>
      <x:c r="D6" s="78" t="n">
        <x:f>B6*C6</x:f>
        <x:v>500</x:v>
      </x:c>
      <x:c r="E6" s="62" t="n">
        <x:v>39</x:v>
      </x:c>
      <x:c r="F6" s="64" t="n">
        <x:f>D6*E6</x:f>
        <x:v>19500</x:v>
      </x:c>
      <x:c r="G6" s="64" t="n">
        <x:f>F6*12</x:f>
        <x:v>234000</x:v>
      </x:c>
      <x:c r="H6" s="80" t="n">
        <x:v>0.78</x:v>
      </x:c>
      <x:c r="I6" s="64" t="n">
        <x:f>G6*H6</x:f>
        <x:v>182520</x:v>
      </x:c>
      <x:c r="J6" s="68" t="n">
        <x:v>110</x:v>
      </x:c>
      <x:c r="K6" s="19" t="str">
        <x:v>SEO + creators + PLG</x:v>
      </x:c>
    </x:row>
    <x:row r="7">
      <x:c r="A7" s="19" t="str">
        <x:v>Scale</x:v>
      </x:c>
      <x:c r="B7" s="74" t="n">
        <x:v>50000</x:v>
      </x:c>
      <x:c r="C7" s="66" t="n">
        <x:v>0.06</x:v>
      </x:c>
      <x:c r="D7" s="78" t="n">
        <x:f>B7*C7</x:f>
        <x:v>3000</x:v>
      </x:c>
      <x:c r="E7" s="62" t="n">
        <x:v>49</x:v>
      </x:c>
      <x:c r="F7" s="64" t="n">
        <x:f>D7*E7</x:f>
        <x:v>147000</x:v>
      </x:c>
      <x:c r="G7" s="64" t="n">
        <x:f>F7*12</x:f>
        <x:v>1764000</x:v>
      </x:c>
      <x:c r="H7" s="80" t="n">
        <x:v>0.8</x:v>
      </x:c>
      <x:c r="I7" s="64" t="n">
        <x:f>G7*H7</x:f>
        <x:v>1411200</x:v>
      </x:c>
      <x:c r="J7" s="68" t="n">
        <x:v>120</x:v>
      </x:c>
      <x:c r="K7" s="19" t="str">
        <x:v>Portfolio + alerts</x:v>
      </x:c>
    </x:row>
    <x:row r="8">
      <x:c r="A8" s="19" t="str">
        <x:v>Professional</x:v>
      </x:c>
      <x:c r="B8" s="74" t="n">
        <x:v>100000</x:v>
      </x:c>
      <x:c r="C8" s="66" t="n">
        <x:v>0.07</x:v>
      </x:c>
      <x:c r="D8" s="78" t="n">
        <x:f>B8*C8</x:f>
        <x:v>7000.000000000001</x:v>
      </x:c>
      <x:c r="E8" s="62" t="n">
        <x:v>59</x:v>
      </x:c>
      <x:c r="F8" s="64" t="n">
        <x:f>D8*E8</x:f>
        <x:v>413000.00000000006</x:v>
      </x:c>
      <x:c r="G8" s="64" t="n">
        <x:f>F8*12</x:f>
        <x:v>4956000.000000001</x:v>
      </x:c>
      <x:c r="H8" s="80" t="n">
        <x:v>0.82</x:v>
      </x:c>
      <x:c r="I8" s="64" t="n">
        <x:f>G8*H8</x:f>
        <x:v>4063920.0000000005</x:v>
      </x:c>
      <x:c r="J8" s="68" t="n">
        <x:v>150</x:v>
      </x:c>
      <x:c r="K8" s="19" t="str">
        <x:v>Pro + advisor crossover</x:v>
      </x:c>
    </x:row>
    <x:row r="9">
      <x:c r="A9" s="19" t="str">
        <x:v>B2B mix</x:v>
      </x:c>
      <x:c r="B9" s="74" t="n">
        <x:v>100000</x:v>
      </x:c>
      <x:c r="C9" s="66" t="n">
        <x:v>0.08</x:v>
      </x:c>
      <x:c r="D9" s="78" t="n">
        <x:f>B9*C9</x:f>
        <x:v>8000</x:v>
      </x:c>
      <x:c r="E9" s="62" t="n">
        <x:v>65</x:v>
      </x:c>
      <x:c r="F9" s="64" t="n">
        <x:f>D9*E9</x:f>
        <x:v>520000</x:v>
      </x:c>
      <x:c r="G9" s="64" t="n">
        <x:f>F9*12</x:f>
        <x:v>6240000</x:v>
      </x:c>
      <x:c r="H9" s="80" t="n">
        <x:v>0.82</x:v>
      </x:c>
      <x:c r="I9" s="64" t="n">
        <x:f>G9*H9</x:f>
        <x:v>5116800</x:v>
      </x:c>
      <x:c r="J9" s="68" t="n">
        <x:v>180</x:v>
      </x:c>
      <x:c r="K9" s="19" t="str">
        <x:v>Incluye advisor/team mix</x:v>
      </x:c>
    </x:row>
    <x:row r="12">
      <x:c r="A12" s="45" t="str">
        <x:v>Insight</x:v>
      </x:c>
      <x:c r="B12" s="45" t="str">
        <x:v>Implicación</x:v>
      </x:c>
      <x:c r="C12" s="45" t="str"/>
      <x:c r="D12" s="45" t="str"/>
      <x:c r="E12" s="45" t="str"/>
      <x:c r="F12" s="45" t="str"/>
      <x:c r="G12" s="45" t="str"/>
      <x:c r="H12" s="45" t="str"/>
      <x:c r="I12" s="45" t="str"/>
      <x:c r="J12" s="45" t="str"/>
      <x:c r="K12" s="45" t="str"/>
    </x:row>
    <x:row r="13">
      <x:c r="A13" s="19" t="str">
        <x:v>1</x:v>
      </x:c>
      <x:c r="B13" s="19" t="str">
        <x:v>El retail puede financiar el producto si CAC es bajo y el producto es habitual.</x:v>
      </x:c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</x:row>
    <x:row r="14">
      <x:c r="A14" s="19" t="str">
        <x:v>2</x:v>
      </x:c>
      <x:c r="B14" s="19" t="str">
        <x:v>Advisor/small fund permite subir ARPU sin cambiar el core de datos.</x:v>
      </x:c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</x:row>
    <x:row r="15">
      <x:c r="A15" s="19" t="str">
        <x:v>3</x:v>
      </x:c>
      <x:c r="B15" s="19" t="str">
        <x:v>API puede crear un segundo revenue stream y elevar el valor estratégico.</x:v>
      </x:c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</x:row>
    <x:row r="16">
      <x:c r="A16" s="19" t="str">
        <x:v>4</x:v>
      </x:c>
      <x:c r="B16" s="19" t="str">
        <x:v>El mayor riesgo económico es data licensing, no infraestructura pura.</x:v>
      </x:c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</x:row>
    <x:row r="17">
      <x:c r="A17" s="19" t="str">
        <x:v>5</x:v>
      </x:c>
      <x:c r="B17" s="19" t="str">
        <x:v>La ventaja defendible debe vivir en normalización, evidence graph, workflows y distribución.</x:v>
      </x:c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</x:row>
  </x:sheetData>
  <x:mergeCells>
    <x:mergeCell ref="A1:K2"/>
  </x:mergeCells>
  <x:pageMargins left="0.7" right="0.7" top="0.75" bottom="0.75" header="0.3" footer="0.3"/>
  <x:tableParts count="1">
    <x:tablePart xmlns:r="http://schemas.openxmlformats.org/officeDocument/2006/relationships" r:id="Rb0064b085a834849"/>
  </x:tableParts>
</x:worksheet>
</file>