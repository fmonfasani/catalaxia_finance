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Resumen Columnas" sheetId="1" state="visible" r:id="rId1"/>
    <sheet xmlns:r="http://schemas.openxmlformats.org/officeDocument/2006/relationships" name="Investing_Ratios" sheetId="2" state="visible" r:id="rId2"/>
    <sheet xmlns:r="http://schemas.openxmlformats.org/officeDocument/2006/relationships" name="resultados" sheetId="3" state="visible" r:id="rId3"/>
    <sheet xmlns:r="http://schemas.openxmlformats.org/officeDocument/2006/relationships" name="calculos_edgar" sheetId="4" state="visible" r:id="rId4"/>
    <sheet xmlns:r="http://schemas.openxmlformats.org/officeDocument/2006/relationships" name="Claves" sheetId="5" state="visible" r:id="rId5"/>
    <sheet xmlns:r="http://schemas.openxmlformats.org/officeDocument/2006/relationships" name="Task_" sheetId="6" state="visible" r:id="rId6"/>
    <sheet xmlns:r="http://schemas.openxmlformats.org/officeDocument/2006/relationships" name="Layout" sheetId="7" state="visible" r:id="rId7"/>
    <sheet xmlns:r="http://schemas.openxmlformats.org/officeDocument/2006/relationships" name="Frontend-Tasks" sheetId="8" state="visible" r:id="rId8"/>
    <sheet xmlns:r="http://schemas.openxmlformats.org/officeDocument/2006/relationships" name="Backend-Task" sheetId="9" state="visible" r:id="rId9"/>
    <sheet xmlns:r="http://schemas.openxmlformats.org/officeDocument/2006/relationships" name="Ratios_Scraping" sheetId="10" state="visible" r:id="rId10"/>
    <sheet xmlns:r="http://schemas.openxmlformats.org/officeDocument/2006/relationships" name="Ideas a implementar" sheetId="11" state="visible" r:id="rId11"/>
    <sheet xmlns:r="http://schemas.openxmlformats.org/officeDocument/2006/relationships" name="Task" sheetId="12" state="visible" r:id="rId12"/>
    <sheet xmlns:r="http://schemas.openxmlformats.org/officeDocument/2006/relationships" name="Pipeline Scripts" sheetId="13" state="visible" r:id="rId13"/>
    <sheet xmlns:r="http://schemas.openxmlformats.org/officeDocument/2006/relationships" name="Ejemplo Valores" sheetId="14" state="visible" r:id="rId14"/>
    <sheet xmlns:r="http://schemas.openxmlformats.org/officeDocument/2006/relationships" name="Arquitectura Automatica" sheetId="15" state="visible" r:id="rId15"/>
    <sheet xmlns:r="http://schemas.openxmlformats.org/officeDocument/2006/relationships" name="Snippets" sheetId="16" state="visible" r:id="rId16"/>
    <sheet xmlns:r="http://schemas.openxmlformats.org/officeDocument/2006/relationships" name="estadisticas_outliers" sheetId="17" state="visible" r:id="rId17"/>
  </sheets>
  <definedNames/>
  <calcPr calcId="191029" fullCalcOnLoad="1"/>
</workbook>
</file>

<file path=xl/styles.xml><?xml version="1.0" encoding="utf-8"?>
<styleSheet xmlns="http://schemas.openxmlformats.org/spreadsheetml/2006/main">
  <numFmts count="0"/>
  <fonts count="19">
    <font>
      <name val="Calibri"/>
      <color theme="1"/>
      <sz val="11"/>
      <scheme val="minor"/>
    </font>
    <font>
      <name val="Calibri"/>
      <b val="1"/>
      <color theme="1"/>
      <sz val="11"/>
      <scheme val="minor"/>
    </font>
    <font>
      <name val="Calibri"/>
      <color theme="1"/>
      <sz val="11"/>
      <scheme val="minor"/>
    </font>
    <font>
      <name val="Calibri"/>
      <color rgb="FF000000"/>
      <sz val="11"/>
      <scheme val="minor"/>
    </font>
    <font>
      <name val="Calibri"/>
      <color rgb="FFFF9900"/>
      <sz val="11"/>
      <scheme val="minor"/>
    </font>
    <font>
      <name val="Inter"/>
      <color rgb="FF232526"/>
      <sz val="11"/>
    </font>
    <font>
      <name val="Inter"/>
      <b val="1"/>
      <color rgb="FF232526"/>
      <sz val="11"/>
    </font>
    <font>
      <name val="&quot;Aptos Narrow&quot;"/>
      <color rgb="FF000000"/>
      <sz val="11"/>
    </font>
    <font>
      <name val="Arial"/>
      <color rgb="FF000000"/>
      <sz val="11"/>
    </font>
    <font>
      <name val="Inter"/>
      <color rgb="FF232526"/>
      <sz val="11"/>
    </font>
    <font>
      <name val="Inter"/>
      <color theme="1"/>
      <sz val="11"/>
    </font>
    <font>
      <name val="Inter"/>
      <color rgb="FF232526"/>
      <sz val="9"/>
    </font>
    <font>
      <name val="Calibri"/>
      <color rgb="FF000000"/>
      <sz val="11"/>
    </font>
    <font>
      <name val="Calibri"/>
      <color rgb="FF0000FF"/>
      <sz val="11"/>
      <u val="single"/>
    </font>
    <font>
      <name val="Arial"/>
      <b val="1"/>
      <color rgb="FF000000"/>
      <sz val="14"/>
    </font>
    <font>
      <name val="Arial"/>
      <b val="1"/>
      <color rgb="FF000000"/>
      <sz val="11"/>
    </font>
    <font>
      <name val="Arial"/>
      <color rgb="FF000000"/>
      <sz val="11"/>
    </font>
    <font>
      <name val="Arial"/>
      <color rgb="FF000000"/>
      <sz val="11"/>
      <u val="single"/>
    </font>
    <font>
      <name val="Calibri"/>
      <color theme="1"/>
      <sz val="14"/>
      <scheme val="minor"/>
    </font>
  </fonts>
  <fills count="16">
    <fill>
      <patternFill/>
    </fill>
    <fill>
      <patternFill patternType="gray125"/>
    </fill>
    <fill>
      <patternFill patternType="solid">
        <fgColor rgb="FFD9EAD3"/>
        <bgColor rgb="FFD9EAD3"/>
      </patternFill>
    </fill>
    <fill>
      <patternFill patternType="solid">
        <fgColor rgb="FFF9CB9C"/>
        <bgColor rgb="FFF9CB9C"/>
      </patternFill>
    </fill>
    <fill>
      <patternFill patternType="solid">
        <fgColor rgb="FFFCE5CD"/>
        <bgColor rgb="FFFCE5CD"/>
      </patternFill>
    </fill>
    <fill>
      <patternFill patternType="solid">
        <fgColor rgb="FFB6D7A8"/>
        <bgColor rgb="FFB6D7A8"/>
      </patternFill>
    </fill>
    <fill>
      <patternFill patternType="solid">
        <fgColor rgb="FFD9D9D9"/>
        <bgColor rgb="FFD9D9D9"/>
      </patternFill>
    </fill>
    <fill>
      <patternFill patternType="solid">
        <fgColor rgb="FFFAFAFB"/>
        <bgColor rgb="FFFAFAFB"/>
      </patternFill>
    </fill>
    <fill>
      <patternFill patternType="solid">
        <fgColor rgb="FFFFFFFF"/>
        <bgColor rgb="FFFFFFFF"/>
      </patternFill>
    </fill>
    <fill>
      <patternFill patternType="solid">
        <fgColor rgb="FFFBE2D5"/>
        <bgColor rgb="FFFBE2D5"/>
      </patternFill>
    </fill>
    <fill>
      <patternFill patternType="solid">
        <fgColor rgb="FFCC0000"/>
        <bgColor rgb="FFCC0000"/>
      </patternFill>
    </fill>
    <fill>
      <patternFill patternType="solid">
        <fgColor rgb="FFF6B26B"/>
        <bgColor rgb="FFF6B26B"/>
      </patternFill>
    </fill>
    <fill>
      <patternFill patternType="solid">
        <fgColor rgb="FFFF9900"/>
        <bgColor rgb="FFFF9900"/>
      </patternFill>
    </fill>
    <fill>
      <patternFill patternType="solid">
        <fgColor rgb="FFFFFF00"/>
        <bgColor indexed="64"/>
      </patternFill>
    </fill>
    <fill>
      <patternFill patternType="solid">
        <fgColor rgb="FF05FF76"/>
        <bgColor indexed="64"/>
      </patternFill>
    </fill>
    <fill>
      <patternFill patternType="solid">
        <fgColor rgb="FF00B0F0"/>
        <bgColor indexed="64"/>
      </patternFill>
    </fill>
  </fills>
  <borders count="3">
    <border>
      <left/>
      <right/>
      <top/>
      <bottom/>
      <diagonal/>
    </border>
    <border>
      <left/>
      <right/>
      <top style="thin">
        <color rgb="FFD9DCDF"/>
      </top>
      <bottom style="thin">
        <color rgb="FFE4EAF1"/>
      </bottom>
      <diagonal/>
    </border>
    <border>
      <left/>
      <right/>
      <top style="thin">
        <color rgb="FFE4EAF1"/>
      </top>
      <bottom style="thin">
        <color rgb="FFE4EAF1"/>
      </bottom>
      <diagonal/>
    </border>
  </borders>
  <cellStyleXfs count="1">
    <xf numFmtId="0" fontId="2" fillId="0" borderId="0"/>
  </cellStyleXfs>
  <cellXfs count="60">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2" fillId="3" borderId="0" pivotButton="0" quotePrefix="0" xfId="0"/>
    <xf numFmtId="0" fontId="3" fillId="4" borderId="0" pivotButton="0" quotePrefix="0" xfId="0"/>
    <xf numFmtId="0" fontId="2" fillId="4" borderId="0" pivotButton="0" quotePrefix="0" xfId="0"/>
    <xf numFmtId="0" fontId="4" fillId="5" borderId="0" pivotButton="0" quotePrefix="0" xfId="0"/>
    <xf numFmtId="0" fontId="2" fillId="5" borderId="0" pivotButton="0" quotePrefix="0" xfId="0"/>
    <xf numFmtId="0" fontId="2" fillId="6" borderId="0" pivotButton="0" quotePrefix="0" xfId="0"/>
    <xf numFmtId="0" fontId="5" fillId="7" borderId="1" pivotButton="0" quotePrefix="0" xfId="0"/>
    <xf numFmtId="0" fontId="5" fillId="8" borderId="2" pivotButton="0" quotePrefix="0" xfId="0"/>
    <xf numFmtId="10" fontId="2" fillId="0" borderId="0" pivotButton="0" quotePrefix="0" xfId="0"/>
    <xf numFmtId="0" fontId="6" fillId="7" borderId="1" pivotButton="0" quotePrefix="0" xfId="0"/>
    <xf numFmtId="0" fontId="6" fillId="8" borderId="2" pivotButton="0" quotePrefix="0" xfId="0"/>
    <xf numFmtId="0" fontId="7" fillId="9" borderId="0" pivotButton="0" quotePrefix="0" xfId="0"/>
    <xf numFmtId="9" fontId="2" fillId="0" borderId="0" pivotButton="0" quotePrefix="0" xfId="0"/>
    <xf numFmtId="0" fontId="8" fillId="9" borderId="0" pivotButton="0" quotePrefix="0" xfId="0"/>
    <xf numFmtId="3" fontId="2" fillId="0" borderId="0" pivotButton="0" quotePrefix="0" xfId="0"/>
    <xf numFmtId="0" fontId="9" fillId="8" borderId="0" applyAlignment="1" pivotButton="0" quotePrefix="0" xfId="0">
      <alignment horizontal="right"/>
    </xf>
    <xf numFmtId="10" fontId="9" fillId="8" borderId="0" applyAlignment="1" pivotButton="0" quotePrefix="0" xfId="0">
      <alignment horizontal="right"/>
    </xf>
    <xf numFmtId="0" fontId="9" fillId="8" borderId="0" pivotButton="0" quotePrefix="0" xfId="0"/>
    <xf numFmtId="9" fontId="9" fillId="8" borderId="0" applyAlignment="1" pivotButton="0" quotePrefix="0" xfId="0">
      <alignment horizontal="right"/>
    </xf>
    <xf numFmtId="0" fontId="5" fillId="8" borderId="2" applyAlignment="1" pivotButton="0" quotePrefix="0" xfId="0">
      <alignment horizontal="right"/>
    </xf>
    <xf numFmtId="49" fontId="10" fillId="0" borderId="0" applyAlignment="1" pivotButton="0" quotePrefix="0" xfId="0">
      <alignment horizontal="right"/>
    </xf>
    <xf numFmtId="49" fontId="9" fillId="8" borderId="0" applyAlignment="1" pivotButton="0" quotePrefix="0" xfId="0">
      <alignment horizontal="right"/>
    </xf>
    <xf numFmtId="0" fontId="5" fillId="8" borderId="1" applyAlignment="1" pivotButton="0" quotePrefix="0" xfId="0">
      <alignment horizontal="right"/>
    </xf>
    <xf numFmtId="0" fontId="11" fillId="8" borderId="0" pivotButton="0" quotePrefix="0" xfId="0"/>
    <xf numFmtId="10" fontId="5" fillId="8" borderId="2" applyAlignment="1" pivotButton="0" quotePrefix="0" xfId="0">
      <alignment horizontal="right"/>
    </xf>
    <xf numFmtId="10" fontId="5" fillId="8" borderId="1" applyAlignment="1" pivotButton="0" quotePrefix="0" xfId="0">
      <alignment horizontal="right"/>
    </xf>
    <xf numFmtId="10" fontId="11" fillId="8" borderId="0" pivotButton="0" quotePrefix="0" xfId="0"/>
    <xf numFmtId="49" fontId="5" fillId="8" borderId="2" applyAlignment="1" pivotButton="0" quotePrefix="0" xfId="0">
      <alignment horizontal="right"/>
    </xf>
    <xf numFmtId="0" fontId="12" fillId="0" borderId="0" pivotButton="0" quotePrefix="0" xfId="0"/>
    <xf numFmtId="0" fontId="12" fillId="0" borderId="0" applyAlignment="1" pivotButton="0" quotePrefix="0" xfId="0">
      <alignment horizontal="right"/>
    </xf>
    <xf numFmtId="10" fontId="12" fillId="0" borderId="0" pivotButton="0" quotePrefix="0" xfId="0"/>
    <xf numFmtId="10" fontId="12" fillId="0" borderId="0" applyAlignment="1" pivotButton="0" quotePrefix="0" xfId="0">
      <alignment horizontal="right"/>
    </xf>
    <xf numFmtId="0" fontId="12" fillId="2" borderId="0" applyAlignment="1" pivotButton="0" quotePrefix="0" xfId="0">
      <alignment horizontal="right"/>
    </xf>
    <xf numFmtId="0" fontId="2" fillId="0" borderId="0" applyAlignment="1" pivotButton="0" quotePrefix="0" xfId="0">
      <alignment horizontal="right"/>
    </xf>
    <xf numFmtId="3" fontId="2" fillId="0" borderId="0" applyAlignment="1" pivotButton="0" quotePrefix="0" xfId="0">
      <alignment horizontal="right"/>
    </xf>
    <xf numFmtId="0" fontId="12" fillId="3" borderId="0" pivotButton="0" quotePrefix="0" xfId="0"/>
    <xf numFmtId="0" fontId="12" fillId="10" borderId="0" applyAlignment="1" pivotButton="0" quotePrefix="0" xfId="0">
      <alignment horizontal="left"/>
    </xf>
    <xf numFmtId="10" fontId="2" fillId="0" borderId="0" applyAlignment="1" pivotButton="0" quotePrefix="0" xfId="0">
      <alignment horizontal="right"/>
    </xf>
    <xf numFmtId="0" fontId="13" fillId="0" borderId="0" pivotButton="0" quotePrefix="0" xfId="0"/>
    <xf numFmtId="0" fontId="2" fillId="0" borderId="0" applyAlignment="1" pivotButton="0" quotePrefix="0" xfId="0">
      <alignment horizontal="left"/>
    </xf>
    <xf numFmtId="0" fontId="15" fillId="0" borderId="0" applyAlignment="1" pivotButton="0" quotePrefix="0" xfId="0">
      <alignment horizontal="center"/>
    </xf>
    <xf numFmtId="0" fontId="16" fillId="0" borderId="0" applyAlignment="1" pivotButton="0" quotePrefix="0" xfId="0">
      <alignment horizontal="left"/>
    </xf>
    <xf numFmtId="0" fontId="17" fillId="0" borderId="0" applyAlignment="1" pivotButton="0" quotePrefix="0" xfId="0">
      <alignment horizontal="left"/>
    </xf>
    <xf numFmtId="0" fontId="15" fillId="0" borderId="0" applyAlignment="1" pivotButton="0" quotePrefix="0" xfId="0">
      <alignment horizontal="left"/>
    </xf>
    <xf numFmtId="0" fontId="16" fillId="11" borderId="0" applyAlignment="1" pivotButton="0" quotePrefix="0" xfId="0">
      <alignment horizontal="left"/>
    </xf>
    <xf numFmtId="0" fontId="15" fillId="11" borderId="0" applyAlignment="1" pivotButton="0" quotePrefix="0" xfId="0">
      <alignment horizontal="left"/>
    </xf>
    <xf numFmtId="0" fontId="16" fillId="12" borderId="0" applyAlignment="1" pivotButton="0" quotePrefix="0" xfId="0">
      <alignment horizontal="left"/>
    </xf>
    <xf numFmtId="0" fontId="15" fillId="12" borderId="0" applyAlignment="1" pivotButton="0" quotePrefix="0" xfId="0">
      <alignment horizontal="left"/>
    </xf>
    <xf numFmtId="0" fontId="18" fillId="0" borderId="0" applyAlignment="1" pivotButton="0" quotePrefix="0" xfId="0">
      <alignment horizontal="center"/>
    </xf>
    <xf numFmtId="0" fontId="18" fillId="0" borderId="0" pivotButton="0" quotePrefix="0" xfId="0"/>
    <xf numFmtId="0" fontId="12" fillId="0" borderId="0" pivotButton="0" quotePrefix="0" xfId="0"/>
    <xf numFmtId="0" fontId="0" fillId="0" borderId="0" pivotButton="0" quotePrefix="0" xfId="0"/>
    <xf numFmtId="0" fontId="14" fillId="0" borderId="0" applyAlignment="1" pivotButton="0" quotePrefix="0" xfId="0">
      <alignment horizontal="center"/>
    </xf>
    <xf numFmtId="0" fontId="0" fillId="13" borderId="0" pivotButton="0" quotePrefix="0" xfId="0"/>
    <xf numFmtId="0" fontId="0" fillId="14" borderId="0" pivotButton="0" quotePrefix="0" xfId="0"/>
    <xf numFmtId="0" fontId="0" fillId="15"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4876800" cy="2314575"/>
    <pic>
      <nvPicPr>
        <cNvPr id="2"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row>
      <rowOff>0</rowOff>
    </from>
    <ext cx="4876800" cy="2343150"/>
    <pic>
      <nvPicPr>
        <cNvPr id="3" name="image2.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app.tikr.com/" TargetMode="External" Id="rId1"/><Relationship Type="http://schemas.openxmlformats.org/officeDocument/2006/relationships/hyperlink" Target="https://es.investing.com/" TargetMode="External" Id="rId2"/></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hyperlink" Target="http://04_descargar_precios.py/" TargetMode="External" Id="rId1"/><Relationship Type="http://schemas.openxmlformats.org/officeDocument/2006/relationships/hyperlink" Target="http://04_descargar_precios.py/" TargetMode="External" Id="rId2"/><Relationship Type="http://schemas.openxmlformats.org/officeDocument/2006/relationships/hyperlink" Target="http://04_descargar_precios.py/" TargetMode="External" Id="rId3"/><Relationship Type="http://schemas.openxmlformats.org/officeDocument/2006/relationships/hyperlink" Target="http://investing.com/" TargetMode="External" Id="rId4"/><Relationship Type="http://schemas.openxmlformats.org/officeDocument/2006/relationships/hyperlink" Target="http://investing.com/" TargetMode="External" Id="rId5"/><Relationship Type="http://schemas.openxmlformats.org/officeDocument/2006/relationships/hyperlink" Target="http://investing.com/" TargetMode="External" Id="rId6"/><Relationship Type="http://schemas.openxmlformats.org/officeDocument/2006/relationships/hyperlink" Target="http://investing.com/" TargetMode="External" Id="rId7"/><Relationship Type="http://schemas.openxmlformats.org/officeDocument/2006/relationships/hyperlink" Target="http://investing.com/" TargetMode="External" Id="rId8"/><Relationship Type="http://schemas.openxmlformats.org/officeDocument/2006/relationships/hyperlink" Target="http://investing.com/" TargetMode="External" Id="rId9"/></Relationships>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10" defaultColWidth="14.42578125" defaultRowHeight="15" customHeight="1"/>
  <cols>
    <col width="9.42578125" customWidth="1" style="55" min="1" max="2"/>
    <col width="9.140625" customWidth="1" style="55" min="3" max="3"/>
    <col width="33.7109375" customWidth="1" style="55" min="4" max="4"/>
    <col width="35.42578125" customWidth="1" style="55" min="5" max="5"/>
    <col width="22.28515625" customWidth="1" style="55" min="6" max="6"/>
    <col width="24.85546875" customWidth="1" style="55" min="7" max="7"/>
    <col width="30.85546875" customWidth="1" style="55" min="8" max="8"/>
    <col width="23.7109375" customWidth="1" style="55" min="9" max="9"/>
    <col width="24.5703125" customWidth="1" style="55" min="10" max="10"/>
    <col width="8.7109375" customWidth="1" style="55" min="11" max="30"/>
  </cols>
  <sheetData>
    <row r="1">
      <c r="A1" s="1" t="inlineStr">
        <is>
          <t>Investing</t>
        </is>
      </c>
      <c r="B1" s="1" t="inlineStr">
        <is>
          <t>ID_RATIO</t>
        </is>
      </c>
      <c r="C1" s="1" t="inlineStr">
        <is>
          <t>Backend</t>
        </is>
      </c>
      <c r="D1" s="1" t="inlineStr">
        <is>
          <t>Columna</t>
        </is>
      </c>
      <c r="E1" s="1" t="inlineStr">
        <is>
          <t>Cómo se obtiene</t>
        </is>
      </c>
      <c r="F1" s="1" t="inlineStr">
        <is>
          <t>Script</t>
        </is>
      </c>
      <c r="G1" s="1" t="inlineStr">
        <is>
          <t>Fuente</t>
        </is>
      </c>
      <c r="H1" s="1" t="inlineStr">
        <is>
          <t>Lógica</t>
        </is>
      </c>
      <c r="I1" s="2" t="inlineStr">
        <is>
          <t>Fuente</t>
        </is>
      </c>
      <c r="J1" s="2" t="inlineStr">
        <is>
          <t>Descripcion</t>
        </is>
      </c>
      <c r="K1" s="2" t="inlineStr">
        <is>
          <t>Actualizacion</t>
        </is>
      </c>
    </row>
    <row r="2">
      <c r="A2" s="3" t="n"/>
      <c r="B2" s="3" t="n">
        <v>1</v>
      </c>
      <c r="C2" s="2" t="inlineStr">
        <is>
          <t>Fede</t>
        </is>
      </c>
      <c r="D2" s="2" t="inlineStr">
        <is>
          <t>Precio en u$s</t>
        </is>
      </c>
      <c r="E2" s="2" t="inlineStr">
        <is>
          <t>Descarga desde Yahoo Finance usando yfinance.fast_info.last_price</t>
        </is>
      </c>
      <c r="F2" s="2" t="inlineStr">
        <is>
          <t>04_descargar_precios.py</t>
        </is>
      </c>
      <c r="G2" s="2" t="inlineStr">
        <is>
          <t>Yahoo Finance / yfinance</t>
        </is>
      </c>
      <c r="H2" s="2" t="inlineStr">
        <is>
          <t>Ticker normalizado -&gt; yf.Ticker() -&gt; fast_info.last_price</t>
        </is>
      </c>
      <c r="I2" s="2" t="inlineStr">
        <is>
          <t>yfinance</t>
        </is>
      </c>
      <c r="J2" s="2" t="inlineStr">
        <is>
          <t>Es el precio real de la bolsa donde esta listada (ver el tema de comision)</t>
        </is>
      </c>
      <c r="K2" s="2" t="inlineStr">
        <is>
          <t>Ahora, no solo hay que decargar los tickets de argentina sino que los tickets de EEUU que no cotizan en argentina</t>
        </is>
      </c>
    </row>
    <row r="3">
      <c r="A3" s="3" t="inlineStr">
        <is>
          <t>x</t>
        </is>
      </c>
      <c r="B3" s="3" t="n">
        <v>2</v>
      </c>
      <c r="C3" s="4" t="inlineStr">
        <is>
          <t>Fede</t>
        </is>
      </c>
      <c r="D3" s="4" t="inlineStr">
        <is>
          <t>PER</t>
        </is>
      </c>
      <c r="E3" s="4" t="inlineStr">
        <is>
          <t>Precio actual / EPS TTM</t>
        </is>
      </c>
      <c r="F3" s="4" t="inlineStr">
        <is>
          <t>05_calcular_ratios.py</t>
        </is>
      </c>
      <c r="G3" s="4" t="inlineStr">
        <is>
          <t>SEC EDGAR + Yahoo Finance</t>
        </is>
      </c>
      <c r="H3" s="4" t="inlineStr">
        <is>
          <t>PER = precio_usd / eps_ttm_diluted</t>
        </is>
      </c>
      <c r="I3" s="4" t="inlineStr">
        <is>
          <t>Investing</t>
        </is>
      </c>
      <c r="J3" s="2" t="inlineStr">
        <is>
          <t>Sacas el ratio de INvesting en valuation y la columna PER</t>
        </is>
      </c>
      <c r="K3" s="2" t="inlineStr">
        <is>
          <t>SIgue igual, hay que scrapear invesing con a cuenta de Marcelo, y extraer e PER</t>
        </is>
      </c>
    </row>
    <row r="4">
      <c r="A4" s="3" t="n"/>
      <c r="B4" s="3" t="n">
        <v>3</v>
      </c>
      <c r="C4" s="2" t="inlineStr">
        <is>
          <t>Fede</t>
        </is>
      </c>
      <c r="D4" s="2" t="inlineStr">
        <is>
          <t>Precio Máximo 52 semanas</t>
        </is>
      </c>
      <c r="E4" s="2" t="inlineStr">
        <is>
          <t>year_high desde yfinance.fast_info</t>
        </is>
      </c>
      <c r="F4" s="2" t="inlineStr">
        <is>
          <t>04_descargar_precios.py</t>
        </is>
      </c>
      <c r="G4" s="2" t="inlineStr">
        <is>
          <t>Yahoo Finance</t>
        </is>
      </c>
      <c r="H4" s="2" t="inlineStr">
        <is>
          <t>fi.year_high</t>
        </is>
      </c>
      <c r="I4" s="2" t="inlineStr">
        <is>
          <t>yfinance</t>
        </is>
      </c>
    </row>
    <row r="5">
      <c r="A5" s="3" t="n"/>
      <c r="B5" s="3" t="n">
        <v>4</v>
      </c>
      <c r="C5" s="2" t="inlineStr">
        <is>
          <t>Fede</t>
        </is>
      </c>
      <c r="D5" s="2" t="inlineStr">
        <is>
          <t>Dif. contra Máx 52 sem</t>
        </is>
      </c>
      <c r="E5" s="2" t="inlineStr">
        <is>
          <t>(precio_actual / máximo_52w) - 1</t>
        </is>
      </c>
      <c r="F5" s="2" t="inlineStr">
        <is>
          <t>05_calcular_ratios.py</t>
        </is>
      </c>
      <c r="G5" s="2" t="inlineStr">
        <is>
          <t>Calculado</t>
        </is>
      </c>
      <c r="H5" s="2" t="inlineStr">
        <is>
          <t>dif_max = (precio/year_high)-1</t>
        </is>
      </c>
      <c r="I5" s="2" t="inlineStr">
        <is>
          <t>yfinance</t>
        </is>
      </c>
    </row>
    <row r="6">
      <c r="A6" s="3" t="n"/>
      <c r="B6" s="3" t="n">
        <v>5</v>
      </c>
      <c r="C6" s="2" t="inlineStr">
        <is>
          <t>Fede</t>
        </is>
      </c>
      <c r="D6" s="2" t="inlineStr">
        <is>
          <t>Precio Mínimo 52 semanas</t>
        </is>
      </c>
      <c r="E6" s="2" t="inlineStr">
        <is>
          <t>year_low desde yfinance.fast_info</t>
        </is>
      </c>
      <c r="F6" s="2" t="inlineStr">
        <is>
          <t>04_descargar_precios.py</t>
        </is>
      </c>
      <c r="G6" s="2" t="inlineStr">
        <is>
          <t>Yahoo Finance</t>
        </is>
      </c>
      <c r="H6" s="2" t="inlineStr">
        <is>
          <t>fi.year_low</t>
        </is>
      </c>
      <c r="I6" s="2" t="inlineStr">
        <is>
          <t>yfinance</t>
        </is>
      </c>
    </row>
    <row r="7">
      <c r="A7" s="3" t="n"/>
      <c r="B7" s="3" t="n">
        <v>6</v>
      </c>
      <c r="C7" s="2" t="inlineStr">
        <is>
          <t>Fede</t>
        </is>
      </c>
      <c r="D7" s="2" t="inlineStr">
        <is>
          <t>Dif. contra Mín. 52 sem</t>
        </is>
      </c>
      <c r="E7" s="2" t="inlineStr">
        <is>
          <t>(precio_actual / mínimo_52w) - 1</t>
        </is>
      </c>
      <c r="F7" s="2" t="inlineStr">
        <is>
          <t>05_calcular_ratios.py</t>
        </is>
      </c>
      <c r="G7" s="2" t="inlineStr">
        <is>
          <t>Calculado</t>
        </is>
      </c>
      <c r="H7" s="2" t="inlineStr">
        <is>
          <t>dif_min = (precio/year_low)-1</t>
        </is>
      </c>
      <c r="I7" s="2" t="inlineStr">
        <is>
          <t>yfinance</t>
        </is>
      </c>
    </row>
    <row r="8">
      <c r="A8" s="2" t="n"/>
      <c r="B8" s="2" t="n">
        <v>7</v>
      </c>
      <c r="C8" s="5" t="inlineStr">
        <is>
          <t>Mateo</t>
        </is>
      </c>
      <c r="D8" s="6" t="inlineStr">
        <is>
          <t>Deuda/EBITDA</t>
        </is>
      </c>
      <c r="E8" s="6" t="inlineStr">
        <is>
          <t>Deuda total o LP / EBITDA TTM</t>
        </is>
      </c>
      <c r="F8" s="6" t="inlineStr">
        <is>
          <t>05_calcular_ratios.py</t>
        </is>
      </c>
      <c r="G8" s="6" t="inlineStr">
        <is>
          <t>SEC EDGAR XBRL</t>
        </is>
      </c>
      <c r="H8" s="6" t="inlineStr">
        <is>
          <t>debt / EBITDA</t>
        </is>
      </c>
      <c r="I8" s="6" t="inlineStr">
        <is>
          <t>EDGAR / comprobar TIKR</t>
        </is>
      </c>
      <c r="J8" s="2" t="inlineStr">
        <is>
          <t>EN TIKR vas a finznzas y despues Ratio</t>
        </is>
      </c>
      <c r="K8" s="2" t="inlineStr">
        <is>
          <t xml:space="preserve">Usa el escraping de EDGAR, investigar como trabaja el codigo 05 calcular ratios, </t>
        </is>
      </c>
    </row>
    <row r="9">
      <c r="A9" s="4" t="inlineStr">
        <is>
          <t>x</t>
        </is>
      </c>
      <c r="B9" s="4" t="n">
        <v>8</v>
      </c>
      <c r="C9" s="4" t="inlineStr">
        <is>
          <t>Fede</t>
        </is>
      </c>
      <c r="D9" s="4" t="inlineStr">
        <is>
          <t>EPS (Anual)</t>
        </is>
      </c>
      <c r="E9" s="4" t="inlineStr">
        <is>
          <t>NetIncomeTTM / DilutedShares</t>
        </is>
      </c>
      <c r="F9" s="4" t="inlineStr">
        <is>
          <t>05_calcular_ratios.py</t>
        </is>
      </c>
      <c r="G9" s="4" t="inlineStr">
        <is>
          <t>SEC EDGAR</t>
        </is>
      </c>
      <c r="H9" s="4" t="inlineStr">
        <is>
          <t>eps_ttm = net_income / diluted_shares</t>
        </is>
      </c>
      <c r="I9" s="4" t="inlineStr">
        <is>
          <t>Investing</t>
        </is>
      </c>
      <c r="J9" s="2" t="inlineStr">
        <is>
          <t xml:space="preserve">En investing vas a fincncial y es el ticket Diluted EPS,         </t>
        </is>
      </c>
      <c r="K9" s="2" t="inlineStr">
        <is>
          <t>escrapear investing como dice la fila anterior</t>
        </is>
      </c>
    </row>
    <row r="10">
      <c r="A10" s="2" t="inlineStr">
        <is>
          <t>x</t>
        </is>
      </c>
      <c r="B10" s="2" t="n">
        <v>9</v>
      </c>
      <c r="C10" s="2" t="inlineStr">
        <is>
          <t>Fede</t>
        </is>
      </c>
      <c r="D10" s="2" t="inlineStr">
        <is>
          <t>Crecimiento EPS ultimos 5 años</t>
        </is>
      </c>
      <c r="E10" s="2" t="inlineStr">
        <is>
          <t>CAGR de EPS anual</t>
        </is>
      </c>
      <c r="F10" s="2" t="inlineStr">
        <is>
          <t>05_calcular_ratios.py</t>
        </is>
      </c>
      <c r="G10" s="2" t="inlineStr">
        <is>
          <t>SEC EDGAR</t>
        </is>
      </c>
      <c r="H10" s="2" t="inlineStr">
        <is>
          <t>CAGR(fin/inicio)^(1/5)-1</t>
        </is>
      </c>
      <c r="I10" s="2" t="inlineStr">
        <is>
          <t>Investing</t>
        </is>
      </c>
      <c r="J10" s="2" t="inlineStr">
        <is>
          <t xml:space="preserve">En investing vas a financial y es el ticket 5 Year EPS Growth     </t>
        </is>
      </c>
      <c r="K10" s="2" t="inlineStr">
        <is>
          <t>escrapear investing como dice la fila anterior</t>
        </is>
      </c>
    </row>
    <row r="11">
      <c r="A11" s="2" t="inlineStr">
        <is>
          <t>x</t>
        </is>
      </c>
      <c r="B11" s="2" t="n">
        <v>10</v>
      </c>
      <c r="C11" s="2" t="inlineStr">
        <is>
          <t>Mateo</t>
        </is>
      </c>
      <c r="D11" s="2" t="inlineStr">
        <is>
          <t>Margen Neto</t>
        </is>
      </c>
      <c r="E11" s="2" t="inlineStr">
        <is>
          <t>NetIncomeTTM / RevenueTTM</t>
        </is>
      </c>
      <c r="F11" s="2" t="inlineStr">
        <is>
          <t>05_calcular_ratios.py</t>
        </is>
      </c>
      <c r="G11" s="2" t="inlineStr">
        <is>
          <t>SEC EDGAR</t>
        </is>
      </c>
      <c r="H11" s="2" t="inlineStr">
        <is>
          <t>margen = net_income/revenue</t>
        </is>
      </c>
      <c r="I11" s="2" t="inlineStr">
        <is>
          <t>Investing</t>
        </is>
      </c>
      <c r="J11" s="2" t="inlineStr">
        <is>
          <t>En investing te vas a la accion, vas a financial y luego ratio, tomas el valor de  Net Profit marginTTM de la accion no de la industria</t>
        </is>
      </c>
      <c r="K11" s="2" t="inlineStr">
        <is>
          <t>escrapear investing como dice la fila anterior</t>
        </is>
      </c>
    </row>
    <row r="12">
      <c r="A12" s="2" t="inlineStr">
        <is>
          <t>x</t>
        </is>
      </c>
      <c r="B12" s="2" t="n">
        <v>11</v>
      </c>
      <c r="C12" s="2" t="inlineStr">
        <is>
          <t>Mateo</t>
        </is>
      </c>
      <c r="D12" s="2" t="inlineStr">
        <is>
          <t>ROE (5 años)</t>
        </is>
      </c>
      <c r="E12" s="2" t="inlineStr">
        <is>
          <t>CAGR del retorno sobre equity</t>
        </is>
      </c>
      <c r="F12" s="2" t="inlineStr">
        <is>
          <t>05_calcular_ratios.py</t>
        </is>
      </c>
      <c r="G12" s="2" t="inlineStr">
        <is>
          <t>SEC EDGAR</t>
        </is>
      </c>
      <c r="H12" s="2" t="inlineStr">
        <is>
          <t>ROE histórico anual</t>
        </is>
      </c>
      <c r="I12" s="2" t="inlineStr">
        <is>
          <t>Investing</t>
        </is>
      </c>
      <c r="J12" s="2" t="inlineStr">
        <is>
          <t>En investing te vas a la accion, vas a financial y luego ratio, tomas el valor de          
Return on Equity5YA</t>
        </is>
      </c>
      <c r="K12" s="2" t="inlineStr">
        <is>
          <t>escrapear investing como dice la fila anterior</t>
        </is>
      </c>
    </row>
    <row r="13">
      <c r="B13" s="2" t="n">
        <v>12</v>
      </c>
      <c r="C13" s="7" t="inlineStr">
        <is>
          <t>Mateo</t>
        </is>
      </c>
      <c r="D13" s="8" t="inlineStr">
        <is>
          <t>FCFonCE</t>
        </is>
      </c>
      <c r="E13" s="2" t="inlineStr">
        <is>
          <t>FCF / Capital empleado</t>
        </is>
      </c>
      <c r="F13" s="2" t="inlineStr">
        <is>
          <t>05_calcular_ratios.py</t>
        </is>
      </c>
      <c r="G13" s="2" t="inlineStr">
        <is>
          <t>SEC EDGAR</t>
        </is>
      </c>
      <c r="H13" s="2" t="inlineStr">
        <is>
          <t>FCF = CFO - CapEx</t>
        </is>
      </c>
      <c r="I13" s="2" t="inlineStr">
        <is>
          <t>EDGAR Comprobar con TIKR</t>
        </is>
      </c>
      <c r="J13" s="2" t="inlineStr">
        <is>
          <t>Te vas a TIKR vas a FInanzas, y luego Estado de Flujo de caja, y al ultimo tomas el valor de Flujo de caja libre  tomas el valot TTM, luego vas a la solapa balance de situacino y lo dividis por el valor de  (valor de Total del activo TTM menos el valor de Total pasivo corriente), esto es el divisor</t>
        </is>
      </c>
      <c r="K13" s="2" t="inlineStr">
        <is>
          <t xml:space="preserve">Investigar EDGAR, este datos, ver la matriz cual de los tickets son compatibles, </t>
        </is>
      </c>
    </row>
    <row r="14">
      <c r="A14" s="2" t="inlineStr">
        <is>
          <t>x</t>
        </is>
      </c>
      <c r="B14" s="2" t="n">
        <v>13</v>
      </c>
      <c r="C14" s="2" t="inlineStr">
        <is>
          <t>Mateo</t>
        </is>
      </c>
      <c r="D14" s="2" t="inlineStr">
        <is>
          <t>Payout</t>
        </is>
      </c>
      <c r="E14" s="2" t="inlineStr">
        <is>
          <t>Dividendos / Net Income</t>
        </is>
      </c>
      <c r="F14" s="2" t="inlineStr">
        <is>
          <t>05_calcular_ratios.py</t>
        </is>
      </c>
      <c r="G14" s="2" t="inlineStr">
        <is>
          <t>SEC EDGAR</t>
        </is>
      </c>
      <c r="H14" s="2" t="inlineStr">
        <is>
          <t>dividendos_ttm / net_income_ttm</t>
        </is>
      </c>
      <c r="I14" s="2" t="inlineStr">
        <is>
          <t>Investing</t>
        </is>
      </c>
      <c r="J14" s="2" t="inlineStr">
        <is>
          <t>En investing te vas a la accion, en fincncial, te vas al ratio y ahi         
Payout RatioTTM</t>
        </is>
      </c>
      <c r="K14" s="2" t="inlineStr">
        <is>
          <t>escrapear investing como dice la fila anterior</t>
        </is>
      </c>
    </row>
    <row r="17">
      <c r="C17" s="2" t="n"/>
      <c r="D17" s="2" t="inlineStr">
        <is>
          <t>SEC</t>
        </is>
      </c>
      <c r="E17" s="2" t="inlineStr">
        <is>
          <t>NIIF</t>
        </is>
      </c>
    </row>
    <row r="18">
      <c r="C18" s="2" t="n"/>
      <c r="D18" s="2" t="inlineStr">
        <is>
          <t>TIKR</t>
        </is>
      </c>
      <c r="E18" s="2" t="inlineStr">
        <is>
          <t>Toman la contabiidad general (GAAP) y TIKR ya normalizan los valores para que sean comparables</t>
        </is>
      </c>
    </row>
    <row r="19">
      <c r="C19" s="2" t="n"/>
      <c r="D19" s="2" t="inlineStr">
        <is>
          <t>Investing</t>
        </is>
      </c>
      <c r="E19" s="2" t="inlineStr">
        <is>
          <t xml:space="preserve">Precios, screener, </t>
        </is>
      </c>
    </row>
    <row r="20">
      <c r="E20" s="2" t="inlineStr">
        <is>
          <t xml:space="preserve">FIltras PER, </t>
        </is>
      </c>
    </row>
    <row r="21" ht="15.75" customHeight="1" s="55"/>
    <row r="22" ht="15.75" customHeight="1" s="55">
      <c r="A22" s="2" t="n"/>
      <c r="B22" s="2" t="n"/>
      <c r="C22" s="2" t="n"/>
      <c r="D22" s="2" t="inlineStr">
        <is>
          <t>Para el filtro en investing los que estan listados en argentino destildas Primary listing, y elegis ARG, luego filtras en Vlauation por el PER de 0 a 20</t>
        </is>
      </c>
    </row>
    <row r="23" ht="15.75" customHeight="1" s="55"/>
    <row r="24" ht="15.75" customHeight="1" s="55"/>
    <row r="25" ht="15.75" customHeight="1" s="55">
      <c r="D25" s="2" t="inlineStr">
        <is>
          <t>Tabla con los 100 CEDEARS Investing</t>
        </is>
      </c>
      <c r="E25" s="2" t="inlineStr">
        <is>
          <t>Misma Tabla Con EDGAR</t>
        </is>
      </c>
      <c r="F25" s="2" t="inlineStr">
        <is>
          <t>Comparación</t>
        </is>
      </c>
      <c r="G25" s="2" t="inlineStr">
        <is>
          <t>EDGAR</t>
        </is>
      </c>
      <c r="H25" s="2" t="inlineStr">
        <is>
          <t>Inesting</t>
        </is>
      </c>
    </row>
    <row r="26" ht="15.75" customHeight="1" s="55">
      <c r="C26" s="2" t="inlineStr">
        <is>
          <t>PER</t>
        </is>
      </c>
      <c r="D26" s="6" t="n">
        <v>100</v>
      </c>
      <c r="E26" s="9" t="n">
        <v>80</v>
      </c>
      <c r="F26" s="3">
        <f>D26-E26</f>
        <v/>
      </c>
      <c r="G26" s="2" t="inlineStr">
        <is>
          <t>GAAP</t>
        </is>
      </c>
      <c r="H26" s="2" t="inlineStr">
        <is>
          <t>a veces GAAP otras NO GAAP</t>
        </is>
      </c>
    </row>
    <row r="27" ht="15.75" customHeight="1" s="55">
      <c r="C27" s="2" t="inlineStr">
        <is>
          <t>EPS</t>
        </is>
      </c>
      <c r="D27" s="6" t="n"/>
      <c r="E27" s="9" t="n"/>
      <c r="F27" s="3" t="n"/>
    </row>
    <row r="28" ht="15.75" customHeight="1" s="55">
      <c r="C28" s="2" t="inlineStr">
        <is>
          <t>Crecimiento EPS ultimos 5 años</t>
        </is>
      </c>
      <c r="D28" s="6" t="n"/>
      <c r="E28" s="9" t="n"/>
      <c r="F28" s="3" t="n"/>
    </row>
    <row r="29" ht="15.75" customHeight="1" s="55">
      <c r="C29" s="2" t="inlineStr">
        <is>
          <t>Margen Neto</t>
        </is>
      </c>
      <c r="D29" s="6" t="n"/>
      <c r="E29" s="9" t="n"/>
      <c r="F29" s="3" t="n"/>
    </row>
    <row r="30" ht="15.75" customHeight="1" s="55">
      <c r="C30" s="2" t="inlineStr">
        <is>
          <t>ROE</t>
        </is>
      </c>
      <c r="D30" s="6" t="n"/>
      <c r="E30" s="9" t="n"/>
      <c r="F30" s="3" t="n"/>
    </row>
    <row r="31" ht="15.75" customHeight="1" s="55">
      <c r="C31" s="2" t="inlineStr">
        <is>
          <t>Payout</t>
        </is>
      </c>
      <c r="D31" s="6" t="n"/>
      <c r="E31" s="9" t="n"/>
      <c r="F31" s="3" t="n"/>
    </row>
    <row r="32" ht="15.75" customHeight="1" s="55"/>
    <row r="33" ht="15.75" customHeight="1" s="55">
      <c r="D33" s="2" t="inlineStr">
        <is>
          <t>Investing</t>
        </is>
      </c>
      <c r="E33" s="10" t="inlineStr">
        <is>
          <t>P/E RatioTTM</t>
        </is>
      </c>
      <c r="F33" s="11" t="inlineStr">
        <is>
          <t>Diluted EPSANN</t>
        </is>
      </c>
      <c r="G33" s="11" t="inlineStr">
        <is>
          <t>5 Year EPS Growth5YA</t>
        </is>
      </c>
      <c r="H33" s="11" t="inlineStr">
        <is>
          <t>Net Profit marginTTM</t>
        </is>
      </c>
      <c r="I33" s="10" t="inlineStr">
        <is>
          <t>Return on EquityTTM</t>
        </is>
      </c>
      <c r="J33" s="11" t="inlineStr">
        <is>
          <t>Payout RatioTTM</t>
        </is>
      </c>
    </row>
    <row r="34" ht="15.75" customHeight="1" s="55">
      <c r="D34" s="2" t="inlineStr">
        <is>
          <t>Ticket</t>
        </is>
      </c>
      <c r="E34" s="2" t="inlineStr">
        <is>
          <t>PER</t>
        </is>
      </c>
      <c r="F34" s="2" t="inlineStr">
        <is>
          <t>EPS</t>
        </is>
      </c>
      <c r="G34" s="2" t="inlineStr">
        <is>
          <t>Crecimiento EPS ultimos 5 años</t>
        </is>
      </c>
      <c r="H34" s="2" t="inlineStr">
        <is>
          <t>Margen Neto</t>
        </is>
      </c>
      <c r="I34" s="2" t="inlineStr">
        <is>
          <t>ROE</t>
        </is>
      </c>
      <c r="J34" s="2" t="inlineStr">
        <is>
          <t>Payout</t>
        </is>
      </c>
    </row>
    <row r="35" ht="15.75" customHeight="1" s="55">
      <c r="D35" s="2" t="inlineStr">
        <is>
          <t>GS</t>
        </is>
      </c>
      <c r="E35" s="2" t="n">
        <v>20.09</v>
      </c>
      <c r="F35" s="2" t="n">
        <v>51.32</v>
      </c>
      <c r="G35" s="2" t="n">
        <v>15.71</v>
      </c>
      <c r="H35" s="2" t="n">
        <v>29.36</v>
      </c>
      <c r="I35" s="12" t="n">
        <v>0.1455</v>
      </c>
      <c r="J35" s="2" t="n">
        <v>31.82</v>
      </c>
    </row>
    <row r="36" ht="15.75" customHeight="1" s="55">
      <c r="E36" s="6" t="n"/>
      <c r="F36" s="3" t="n"/>
      <c r="G36" s="3" t="n"/>
    </row>
    <row r="37" ht="15.75" customHeight="1" s="55"/>
    <row r="38" ht="15.75" customHeight="1" s="55">
      <c r="D38" s="2" t="inlineStr">
        <is>
          <t>GAAP</t>
        </is>
      </c>
      <c r="E38" s="2" t="inlineStr">
        <is>
          <t>A evecs  NO GAAP</t>
        </is>
      </c>
    </row>
    <row r="39" ht="15.75" customHeight="1" s="55">
      <c r="D39" s="2" t="inlineStr">
        <is>
          <t>Escenario 1</t>
        </is>
      </c>
      <c r="E39" s="2" t="inlineStr">
        <is>
          <t>Escenario 2 (investing con Ing Inversa)</t>
        </is>
      </c>
    </row>
    <row r="40" ht="15.75" customHeight="1" s="55">
      <c r="D40" s="2" t="inlineStr">
        <is>
          <t>Datos EDGAR</t>
        </is>
      </c>
      <c r="E40" s="2" t="inlineStr">
        <is>
          <t>Datos Investing con ingenieria inversa</t>
        </is>
      </c>
    </row>
    <row r="41" ht="15.75" customHeight="1" s="55">
      <c r="C41" s="2" t="inlineStr">
        <is>
          <t>GS</t>
        </is>
      </c>
      <c r="D41" s="2" t="n">
        <v>80</v>
      </c>
      <c r="E41" s="2" t="n">
        <v>100</v>
      </c>
    </row>
    <row r="42" ht="15.75" customHeight="1" s="55"/>
    <row r="43" ht="15.75" customHeight="1" s="55">
      <c r="C43" s="2" t="inlineStr">
        <is>
          <t>EBITDA</t>
        </is>
      </c>
      <c r="D43" s="2" t="inlineStr">
        <is>
          <t>ganacia neta - d&amp;a</t>
        </is>
      </c>
      <c r="E43" s="2" t="inlineStr">
        <is>
          <t>ganancia neta - d&amp;a + intangibles</t>
        </is>
      </c>
    </row>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W103"/>
  <sheetViews>
    <sheetView workbookViewId="0">
      <selection activeCell="A1" sqref="A1"/>
    </sheetView>
  </sheetViews>
  <sheetFormatPr baseColWidth="10" defaultColWidth="14.42578125" defaultRowHeight="15" customHeight="1"/>
  <cols>
    <col width="9" customWidth="1" style="55" min="1" max="1"/>
    <col width="14.85546875" customWidth="1" style="55" min="2" max="2"/>
    <col width="17.5703125" customWidth="1" style="55" min="3" max="3"/>
    <col width="28.28515625" customWidth="1" style="55" min="4" max="4"/>
    <col width="23.140625" customWidth="1" style="55" min="5" max="5"/>
    <col width="22.7109375" customWidth="1" style="55" min="6" max="6"/>
    <col width="18.5703125" customWidth="1" style="55" min="7" max="7"/>
  </cols>
  <sheetData>
    <row r="1">
      <c r="A1" s="1" t="inlineStr">
        <is>
          <t>Investing</t>
        </is>
      </c>
      <c r="B1" s="13" t="inlineStr">
        <is>
          <t>P/E RatioTTM</t>
        </is>
      </c>
      <c r="C1" s="14" t="inlineStr">
        <is>
          <t>Diluted EPSANN</t>
        </is>
      </c>
      <c r="D1" s="14" t="inlineStr">
        <is>
          <t>5 Year EPS Growth5YA</t>
        </is>
      </c>
      <c r="E1" s="14" t="inlineStr">
        <is>
          <t>Net Profit marginTTM</t>
        </is>
      </c>
      <c r="F1" s="13" t="inlineStr">
        <is>
          <t>Return on EquityTTM</t>
        </is>
      </c>
      <c r="G1" s="14" t="inlineStr">
        <is>
          <t>Payout RatioTTM</t>
        </is>
      </c>
      <c r="I1" s="2" t="inlineStr">
        <is>
          <t>EDGAR</t>
        </is>
      </c>
      <c r="Q1" s="2" t="inlineStr">
        <is>
          <t>Comparacion</t>
        </is>
      </c>
    </row>
    <row r="2">
      <c r="A2" s="1" t="inlineStr">
        <is>
          <t>Ticket</t>
        </is>
      </c>
      <c r="B2" s="1" t="inlineStr">
        <is>
          <t>PER</t>
        </is>
      </c>
      <c r="C2" s="1" t="inlineStr">
        <is>
          <t>EPS</t>
        </is>
      </c>
      <c r="D2" s="1" t="inlineStr">
        <is>
          <t>Crecimiento EPS ultimos 5 años</t>
        </is>
      </c>
      <c r="E2" s="1" t="inlineStr">
        <is>
          <t>Margen Neto</t>
        </is>
      </c>
      <c r="F2" s="1" t="inlineStr">
        <is>
          <t>ROE</t>
        </is>
      </c>
      <c r="G2" s="1" t="inlineStr">
        <is>
          <t>Payout</t>
        </is>
      </c>
      <c r="I2" s="1" t="inlineStr">
        <is>
          <t>Ticket</t>
        </is>
      </c>
      <c r="J2" s="1" t="inlineStr">
        <is>
          <t>PER</t>
        </is>
      </c>
      <c r="K2" s="1" t="inlineStr">
        <is>
          <t>EPS</t>
        </is>
      </c>
      <c r="L2" s="1" t="inlineStr">
        <is>
          <t>Crecimiento EPS ultimos 5 años</t>
        </is>
      </c>
      <c r="M2" s="1" t="inlineStr">
        <is>
          <t>Margen Neto</t>
        </is>
      </c>
      <c r="N2" s="1" t="inlineStr">
        <is>
          <t>ROE</t>
        </is>
      </c>
      <c r="O2" s="1" t="inlineStr">
        <is>
          <t>Payout</t>
        </is>
      </c>
      <c r="Q2" s="1" t="inlineStr">
        <is>
          <t>Ticket</t>
        </is>
      </c>
      <c r="R2" s="1" t="inlineStr">
        <is>
          <t>PER</t>
        </is>
      </c>
      <c r="S2" s="1" t="inlineStr">
        <is>
          <t>EPS</t>
        </is>
      </c>
      <c r="T2" s="1" t="inlineStr">
        <is>
          <t>Crecimiento EPS ultimos 5 años</t>
        </is>
      </c>
      <c r="U2" s="1" t="inlineStr">
        <is>
          <t>Margen Neto</t>
        </is>
      </c>
      <c r="V2" s="1" t="inlineStr">
        <is>
          <t>ROE</t>
        </is>
      </c>
      <c r="W2" s="1" t="inlineStr">
        <is>
          <t>Payout</t>
        </is>
      </c>
    </row>
    <row r="3">
      <c r="A3" s="2" t="inlineStr">
        <is>
          <t>GS</t>
        </is>
      </c>
      <c r="B3" s="2" t="n">
        <v>20.09</v>
      </c>
      <c r="C3" s="2" t="n">
        <v>51.32</v>
      </c>
      <c r="D3" s="2" t="n">
        <v>15.71</v>
      </c>
      <c r="E3" s="12" t="n">
        <v>0.2936</v>
      </c>
      <c r="F3" s="12" t="n">
        <v>0.1455</v>
      </c>
      <c r="G3" s="12" t="n">
        <v>0.3182</v>
      </c>
      <c r="I3" s="2" t="inlineStr">
        <is>
          <t>GS</t>
        </is>
      </c>
      <c r="J3" s="2" t="n">
        <v>20.09</v>
      </c>
      <c r="K3" s="2" t="n">
        <v>51.32</v>
      </c>
      <c r="L3" s="2" t="n">
        <v>15.71</v>
      </c>
      <c r="M3" s="2" t="n">
        <v>0.2936</v>
      </c>
      <c r="N3" s="12" t="n">
        <v>0.1455</v>
      </c>
      <c r="O3" s="2" t="n">
        <v>0.3182</v>
      </c>
      <c r="Q3" s="2">
        <f>A3</f>
        <v/>
      </c>
      <c r="R3" s="2">
        <f>ABS(B3-J3)</f>
        <v/>
      </c>
      <c r="S3" s="2">
        <f>ABS(C3-K3)</f>
        <v/>
      </c>
      <c r="T3" s="2">
        <f>ABS(D3-L3)</f>
        <v/>
      </c>
      <c r="U3" s="2">
        <f>ABS(E3-M3)</f>
        <v/>
      </c>
      <c r="V3" s="2">
        <f>ABS(F3-N3)</f>
        <v/>
      </c>
      <c r="W3" s="2">
        <f>ABS(G3-O3)</f>
        <v/>
      </c>
    </row>
    <row r="4">
      <c r="A4" s="15" t="inlineStr">
        <is>
          <t>IBN</t>
        </is>
      </c>
      <c r="B4" s="2" t="n">
        <v>18.39</v>
      </c>
      <c r="C4" s="2" t="n">
        <v>74.77</v>
      </c>
      <c r="D4" s="12" t="n">
        <v>0.431</v>
      </c>
      <c r="E4" s="12" t="n">
        <v>0.278</v>
      </c>
      <c r="F4" s="16" t="n">
        <v>0.16</v>
      </c>
      <c r="G4" s="12" t="n">
        <v>0.1449</v>
      </c>
      <c r="I4" s="2">
        <f>A4</f>
        <v/>
      </c>
      <c r="Q4" s="2">
        <f>A4</f>
        <v/>
      </c>
      <c r="R4" s="2">
        <f>ABS(B4-J4)</f>
        <v/>
      </c>
      <c r="S4" s="2">
        <f>ABS(C4-K4)</f>
        <v/>
      </c>
      <c r="T4" s="2">
        <f>ABS(D4-L4)</f>
        <v/>
      </c>
      <c r="U4" s="2">
        <f>ABS(E4-M4)</f>
        <v/>
      </c>
      <c r="V4" s="2">
        <f>ABS(F4-N4)</f>
        <v/>
      </c>
      <c r="W4" s="2">
        <f>ABS(G4-O4)</f>
        <v/>
      </c>
    </row>
    <row r="5">
      <c r="A5" s="15" t="inlineStr">
        <is>
          <t>INFY</t>
        </is>
      </c>
      <c r="B5" s="2" t="n">
        <v>14.01</v>
      </c>
      <c r="C5" s="2" t="n">
        <v>0.8</v>
      </c>
      <c r="D5" s="12" t="n">
        <v>0.07630000000000001</v>
      </c>
      <c r="E5" s="12" t="n">
        <v>0.1644</v>
      </c>
      <c r="F5" s="16" t="n">
        <v>0.31</v>
      </c>
      <c r="G5" s="12" t="n">
        <v>0.6438</v>
      </c>
      <c r="I5" s="2">
        <f>A5</f>
        <v/>
      </c>
      <c r="Q5" s="2">
        <f>A5</f>
        <v/>
      </c>
      <c r="R5" s="2">
        <f>ABS(B5-J5)</f>
        <v/>
      </c>
      <c r="S5" s="2">
        <f>ABS(C5-K5)</f>
        <v/>
      </c>
      <c r="T5" s="2">
        <f>ABS(D5-L5)</f>
        <v/>
      </c>
      <c r="U5" s="2">
        <f>ABS(E5-M5)</f>
        <v/>
      </c>
      <c r="V5" s="2">
        <f>ABS(F5-N5)</f>
        <v/>
      </c>
      <c r="W5" s="2">
        <f>ABS(G5-O5)</f>
        <v/>
      </c>
    </row>
    <row r="6">
      <c r="A6" s="17" t="inlineStr">
        <is>
          <t>NOK</t>
        </is>
      </c>
      <c r="B6" s="2" t="n">
        <v>89.09</v>
      </c>
      <c r="C6" s="2" t="n">
        <v>0.1384</v>
      </c>
      <c r="D6" s="12" t="n">
        <v>0.0539</v>
      </c>
      <c r="E6" s="12" t="n">
        <v>0.0398</v>
      </c>
      <c r="F6" s="12" t="n">
        <v>0.037</v>
      </c>
      <c r="G6" s="12" t="n">
        <v>0.9548</v>
      </c>
      <c r="I6" s="2">
        <f>A6</f>
        <v/>
      </c>
      <c r="Q6" s="2">
        <f>A6</f>
        <v/>
      </c>
      <c r="R6" s="2">
        <f>ABS(B6-J6)</f>
        <v/>
      </c>
      <c r="S6" s="2">
        <f>ABS(C6-K6)</f>
        <v/>
      </c>
      <c r="T6" s="2">
        <f>ABS(D6-L6)</f>
        <v/>
      </c>
      <c r="U6" s="2">
        <f>ABS(E6-M6)</f>
        <v/>
      </c>
      <c r="V6" s="2">
        <f>ABS(F6-N6)</f>
        <v/>
      </c>
      <c r="W6" s="2">
        <f>ABS(G6-O6)</f>
        <v/>
      </c>
    </row>
    <row r="7">
      <c r="A7" s="17" t="inlineStr">
        <is>
          <t>CHL</t>
        </is>
      </c>
      <c r="B7" s="2" t="inlineStr">
        <is>
          <t>JAMAICA O SIDNY</t>
        </is>
      </c>
      <c r="I7" s="2">
        <f>A7</f>
        <v/>
      </c>
      <c r="Q7" s="2">
        <f>A7</f>
        <v/>
      </c>
      <c r="R7" s="2">
        <f>ABS(B7-J7)</f>
        <v/>
      </c>
      <c r="S7" s="2">
        <f>ABS(C7-K7)</f>
        <v/>
      </c>
      <c r="T7" s="2">
        <f>ABS(D7-L7)</f>
        <v/>
      </c>
      <c r="U7" s="2">
        <f>ABS(E7-M7)</f>
        <v/>
      </c>
      <c r="V7" s="2">
        <f>ABS(F7-N7)</f>
        <v/>
      </c>
      <c r="W7" s="2">
        <f>ABS(G7-O7)</f>
        <v/>
      </c>
    </row>
    <row r="8">
      <c r="A8" s="17" t="inlineStr">
        <is>
          <t>VALE</t>
        </is>
      </c>
      <c r="B8" s="2" t="n">
        <v>21.25</v>
      </c>
      <c r="C8" s="2" t="n">
        <v>3.65</v>
      </c>
      <c r="D8" s="12" t="n">
        <v>-0.0914</v>
      </c>
      <c r="E8" s="12" t="n">
        <v>0.351</v>
      </c>
      <c r="F8" s="12" t="n">
        <v>0.079</v>
      </c>
      <c r="G8" s="16" t="n">
        <v>0.0833</v>
      </c>
      <c r="I8" s="2">
        <f>A8</f>
        <v/>
      </c>
      <c r="Q8" s="2">
        <f>A8</f>
        <v/>
      </c>
      <c r="R8" s="2">
        <f>ABS(B8-J8)</f>
        <v/>
      </c>
      <c r="S8" s="2">
        <f>ABS(C8-K8)</f>
        <v/>
      </c>
      <c r="T8" s="2">
        <f>ABS(D8-L8)</f>
        <v/>
      </c>
      <c r="U8" s="2">
        <f>ABS(E8-M8)</f>
        <v/>
      </c>
      <c r="V8" s="2">
        <f>ABS(F8-N8)</f>
        <v/>
      </c>
      <c r="W8" s="2">
        <f>ABS(G8-O8)</f>
        <v/>
      </c>
    </row>
    <row r="9">
      <c r="A9" s="17" t="inlineStr">
        <is>
          <t>BRFS</t>
        </is>
      </c>
      <c r="B9" s="2" t="inlineStr">
        <is>
          <t>NO EXISTE EN INV</t>
        </is>
      </c>
      <c r="I9" s="2">
        <f>A9</f>
        <v/>
      </c>
      <c r="Q9" s="2">
        <f>A9</f>
        <v/>
      </c>
      <c r="R9" s="2">
        <f>ABS(B9-J9)</f>
        <v/>
      </c>
      <c r="S9" s="2">
        <f>ABS(C9-K9)</f>
        <v/>
      </c>
      <c r="T9" s="2">
        <f>ABS(D9-L9)</f>
        <v/>
      </c>
      <c r="U9" s="2">
        <f>ABS(E9-M9)</f>
        <v/>
      </c>
      <c r="V9" s="2">
        <f>ABS(F9-N9)</f>
        <v/>
      </c>
      <c r="W9" s="2">
        <f>ABS(G9-O9)</f>
        <v/>
      </c>
    </row>
    <row r="10">
      <c r="A10" s="17" t="inlineStr">
        <is>
          <t>MUFG</t>
        </is>
      </c>
      <c r="B10" s="2" t="n">
        <v>15.4</v>
      </c>
      <c r="C10" s="2" t="n">
        <v>212.3355</v>
      </c>
      <c r="D10" s="12" t="n">
        <v>0.2803</v>
      </c>
      <c r="E10" s="12" t="n">
        <v>0.2851</v>
      </c>
      <c r="F10" s="16" t="n">
        <v>0.12</v>
      </c>
      <c r="G10" s="12" t="n">
        <v>0.3495</v>
      </c>
      <c r="I10" s="2">
        <f>A10</f>
        <v/>
      </c>
      <c r="Q10" s="2">
        <f>A10</f>
        <v/>
      </c>
      <c r="R10" s="2">
        <f>ABS(B10-J10)</f>
        <v/>
      </c>
      <c r="S10" s="2">
        <f>ABS(C10-K10)</f>
        <v/>
      </c>
      <c r="T10" s="2">
        <f>ABS(D10-L10)</f>
        <v/>
      </c>
      <c r="U10" s="2">
        <f>ABS(E10-M10)</f>
        <v/>
      </c>
      <c r="V10" s="2">
        <f>ABS(F10-N10)</f>
        <v/>
      </c>
      <c r="W10" s="2">
        <f>ABS(G10-O10)</f>
        <v/>
      </c>
    </row>
    <row r="11">
      <c r="A11" s="15" t="inlineStr">
        <is>
          <t>TSM</t>
        </is>
      </c>
      <c r="B11" s="2" t="n">
        <v>34.1</v>
      </c>
      <c r="C11" s="2" t="n">
        <v>73.60550000000001</v>
      </c>
      <c r="D11" s="12" t="n">
        <v>0.1855</v>
      </c>
      <c r="E11" s="12" t="n">
        <v>0.619</v>
      </c>
      <c r="F11" s="12" t="n">
        <v>0.365</v>
      </c>
      <c r="G11" s="12" t="n">
        <v>0.0081</v>
      </c>
      <c r="I11" s="2">
        <f>A11</f>
        <v/>
      </c>
      <c r="Q11" s="2">
        <f>A11</f>
        <v/>
      </c>
      <c r="R11" s="2">
        <f>ABS(B11-J11)</f>
        <v/>
      </c>
      <c r="S11" s="2">
        <f>ABS(C11-K11)</f>
        <v/>
      </c>
      <c r="T11" s="2">
        <f>ABS(D11-L11)</f>
        <v/>
      </c>
      <c r="U11" s="2">
        <f>ABS(E11-M11)</f>
        <v/>
      </c>
      <c r="V11" s="2">
        <f>ABS(F11-N11)</f>
        <v/>
      </c>
      <c r="W11" s="2">
        <f>ABS(G11-O11)</f>
        <v/>
      </c>
    </row>
    <row r="12">
      <c r="A12" s="17" t="inlineStr">
        <is>
          <t>GRMN</t>
        </is>
      </c>
      <c r="B12" s="2" t="n">
        <v>27.54</v>
      </c>
      <c r="C12" s="2" t="n">
        <v>8.960000000000001</v>
      </c>
      <c r="D12" s="12" t="n">
        <v>0.094</v>
      </c>
      <c r="E12" s="12" t="n">
        <v>0.2369</v>
      </c>
      <c r="F12" s="12" t="n">
        <v>0.199</v>
      </c>
      <c r="G12" s="12" t="n">
        <v>0.3991</v>
      </c>
      <c r="H12" s="2" t="n"/>
      <c r="I12" s="2">
        <f>A12</f>
        <v/>
      </c>
      <c r="Q12" s="2">
        <f>A12</f>
        <v/>
      </c>
      <c r="R12" s="2">
        <f>ABS(B12-J12)</f>
        <v/>
      </c>
      <c r="S12" s="2">
        <f>ABS(C12-K12)</f>
        <v/>
      </c>
      <c r="T12" s="2">
        <f>ABS(D12-L12)</f>
        <v/>
      </c>
      <c r="U12" s="2">
        <f>ABS(E12-M12)</f>
        <v/>
      </c>
      <c r="V12" s="2">
        <f>ABS(F12-N12)</f>
        <v/>
      </c>
      <c r="W12" s="2">
        <f>ABS(G12-O12)</f>
        <v/>
      </c>
    </row>
    <row r="13">
      <c r="A13" s="15" t="inlineStr">
        <is>
          <t>VIV</t>
        </is>
      </c>
      <c r="B13" s="2" t="n">
        <v>7.01</v>
      </c>
      <c r="C13" s="2" t="n">
        <v>1.97</v>
      </c>
      <c r="D13" s="12" t="n">
        <v>-0.134</v>
      </c>
      <c r="E13" s="12" t="n">
        <v>0.105</v>
      </c>
      <c r="F13" s="12" t="n">
        <v>0.092</v>
      </c>
      <c r="G13" s="12" t="n">
        <v>0.3546</v>
      </c>
      <c r="H13" s="2" t="n"/>
      <c r="I13" s="2">
        <f>A13</f>
        <v/>
      </c>
      <c r="Q13" s="2">
        <f>A13</f>
        <v/>
      </c>
      <c r="R13" s="2">
        <f>ABS(B13-J13)</f>
        <v/>
      </c>
      <c r="S13" s="2">
        <f>ABS(C13-K13)</f>
        <v/>
      </c>
      <c r="T13" s="2">
        <f>ABS(D13-L13)</f>
        <v/>
      </c>
      <c r="U13" s="2">
        <f>ABS(E13-M13)</f>
        <v/>
      </c>
      <c r="V13" s="2">
        <f>ABS(F13-N13)</f>
        <v/>
      </c>
      <c r="W13" s="2">
        <f>ABS(G13-O13)</f>
        <v/>
      </c>
    </row>
    <row r="14">
      <c r="A14" s="17" t="inlineStr">
        <is>
          <t>RIO</t>
        </is>
      </c>
      <c r="B14" s="2" t="n">
        <v>15.41</v>
      </c>
      <c r="C14" s="2" t="n">
        <v>6.084</v>
      </c>
      <c r="D14" s="12" t="n">
        <v>-0.0293</v>
      </c>
      <c r="E14" s="12" t="n">
        <v>0.1729</v>
      </c>
      <c r="F14" s="16" t="n">
        <v>0.17</v>
      </c>
      <c r="G14" s="12" t="n">
        <v>0.6166</v>
      </c>
      <c r="I14" s="2">
        <f>A14</f>
        <v/>
      </c>
      <c r="Q14" s="2">
        <f>A14</f>
        <v/>
      </c>
      <c r="R14" s="2">
        <f>ABS(B14-J14)</f>
        <v/>
      </c>
      <c r="S14" s="2">
        <f>ABS(C14-K14)</f>
        <v/>
      </c>
      <c r="T14" s="2">
        <f>ABS(D14-L14)</f>
        <v/>
      </c>
      <c r="U14" s="2">
        <f>ABS(E14-M14)</f>
        <v/>
      </c>
      <c r="V14" s="2">
        <f>ABS(F14-N14)</f>
        <v/>
      </c>
      <c r="W14" s="2">
        <f>ABS(G14-O14)</f>
        <v/>
      </c>
    </row>
    <row r="15">
      <c r="A15" s="15" t="inlineStr">
        <is>
          <t>CHA</t>
        </is>
      </c>
      <c r="B15" s="2" t="n"/>
      <c r="C15" s="2" t="n">
        <v>4.4139</v>
      </c>
      <c r="F15" s="12" t="n">
        <v>0.147</v>
      </c>
      <c r="I15" s="2">
        <f>A15</f>
        <v/>
      </c>
      <c r="Q15" s="2">
        <f>A15</f>
        <v/>
      </c>
      <c r="R15" s="2">
        <f>ABS(B15-J15)</f>
        <v/>
      </c>
      <c r="S15" s="2">
        <f>ABS(C15-K15)</f>
        <v/>
      </c>
      <c r="T15" s="2">
        <f>ABS(D15-L15)</f>
        <v/>
      </c>
      <c r="U15" s="2">
        <f>ABS(E15-M15)</f>
        <v/>
      </c>
      <c r="V15" s="2">
        <f>ABS(F15-N15)</f>
        <v/>
      </c>
      <c r="W15" s="2">
        <f>ABS(G15-O15)</f>
        <v/>
      </c>
    </row>
    <row r="16">
      <c r="A16" s="15" t="inlineStr">
        <is>
          <t>GOLD</t>
        </is>
      </c>
      <c r="B16" s="2" t="n">
        <v>13.56</v>
      </c>
      <c r="C16" s="18" t="n">
        <v>3.0718</v>
      </c>
      <c r="D16" s="12" t="n">
        <v>-0.1991</v>
      </c>
      <c r="E16" s="12" t="n">
        <v>0.0035</v>
      </c>
      <c r="F16" s="12" t="n">
        <v>0.108</v>
      </c>
      <c r="G16" s="12" t="n">
        <v>0.2549</v>
      </c>
      <c r="I16" s="2">
        <f>A16</f>
        <v/>
      </c>
      <c r="Q16" s="2">
        <f>A16</f>
        <v/>
      </c>
      <c r="R16" s="2">
        <f>ABS(B16-J16)</f>
        <v/>
      </c>
      <c r="S16" s="2">
        <f>ABS(C16-K16)</f>
        <v/>
      </c>
      <c r="T16" s="2">
        <f>ABS(D16-L16)</f>
        <v/>
      </c>
      <c r="U16" s="2">
        <f>ABS(E16-M16)</f>
        <v/>
      </c>
      <c r="V16" s="2">
        <f>ABS(F16-N16)</f>
        <v/>
      </c>
      <c r="W16" s="2">
        <f>ABS(G16-O16)</f>
        <v/>
      </c>
    </row>
    <row r="17">
      <c r="A17" s="15" t="inlineStr">
        <is>
          <t>TRV</t>
        </is>
      </c>
      <c r="B17" s="2" t="n">
        <v>9.6</v>
      </c>
      <c r="C17" s="18" t="n">
        <v>33.6177</v>
      </c>
      <c r="D17" s="12" t="n">
        <v>0.0529</v>
      </c>
      <c r="E17" s="12" t="n">
        <v>0.1554</v>
      </c>
      <c r="F17" s="12" t="n">
        <v>0.251</v>
      </c>
      <c r="G17" s="12" t="n">
        <v>0.1284</v>
      </c>
      <c r="I17" s="2">
        <f>A17</f>
        <v/>
      </c>
      <c r="Q17" s="2">
        <f>A17</f>
        <v/>
      </c>
      <c r="R17" s="2">
        <f>ABS(B17-J17)</f>
        <v/>
      </c>
      <c r="S17" s="2">
        <f>ABS(C17-K17)</f>
        <v/>
      </c>
      <c r="T17" s="2">
        <f>ABS(D17-L17)</f>
        <v/>
      </c>
      <c r="U17" s="2">
        <f>ABS(E17-M17)</f>
        <v/>
      </c>
      <c r="V17" s="2">
        <f>ABS(F17-N17)</f>
        <v/>
      </c>
      <c r="W17" s="2">
        <f>ABS(G17-O17)</f>
        <v/>
      </c>
    </row>
    <row r="18">
      <c r="A18" s="15" t="inlineStr">
        <is>
          <t>AUY</t>
        </is>
      </c>
      <c r="B18" s="2" t="inlineStr">
        <is>
          <t>NO EXISTE EN INV</t>
        </is>
      </c>
      <c r="I18" s="2">
        <f>A18</f>
        <v/>
      </c>
      <c r="Q18" s="2">
        <f>A18</f>
        <v/>
      </c>
      <c r="R18" s="2">
        <f>ABS(B18-J18)</f>
        <v/>
      </c>
      <c r="S18" s="2">
        <f>ABS(C18-K18)</f>
        <v/>
      </c>
      <c r="T18" s="2">
        <f>ABS(D18-L18)</f>
        <v/>
      </c>
      <c r="U18" s="2">
        <f>ABS(E18-M18)</f>
        <v/>
      </c>
      <c r="V18" s="2">
        <f>ABS(F18-N18)</f>
        <v/>
      </c>
      <c r="W18" s="2">
        <f>ABS(G18-O18)</f>
        <v/>
      </c>
    </row>
    <row r="19">
      <c r="A19" s="15" t="inlineStr">
        <is>
          <t>CSCO</t>
        </is>
      </c>
      <c r="B19" s="2" t="n">
        <v>40.03</v>
      </c>
      <c r="C19" s="2" t="n">
        <v>3.0002</v>
      </c>
      <c r="D19" s="12" t="n">
        <v>0.0262</v>
      </c>
      <c r="E19" s="12" t="n">
        <v>0.1969</v>
      </c>
      <c r="F19" s="12" t="n">
        <v>0.252</v>
      </c>
      <c r="G19" s="12" t="n">
        <v>0.5452</v>
      </c>
      <c r="I19" s="2">
        <f>A19</f>
        <v/>
      </c>
      <c r="Q19" s="2">
        <f>A19</f>
        <v/>
      </c>
      <c r="R19" s="2">
        <f>ABS(B19-J19)</f>
        <v/>
      </c>
      <c r="S19" s="2">
        <f>ABS(C19-K19)</f>
        <v/>
      </c>
      <c r="T19" s="2">
        <f>ABS(D19-L19)</f>
        <v/>
      </c>
      <c r="U19" s="2">
        <f>ABS(E19-M19)</f>
        <v/>
      </c>
      <c r="V19" s="2">
        <f>ABS(F19-N19)</f>
        <v/>
      </c>
      <c r="W19" s="2">
        <f>ABS(G19-O19)</f>
        <v/>
      </c>
    </row>
    <row r="20">
      <c r="A20" s="15" t="inlineStr">
        <is>
          <t>SBS</t>
        </is>
      </c>
      <c r="B20" s="2" t="n">
        <v>11.58</v>
      </c>
      <c r="C20" s="2" t="n">
        <v>2.4567</v>
      </c>
      <c r="D20" s="12" t="n">
        <v>0.5377</v>
      </c>
      <c r="E20" s="12" t="n">
        <v>0.2203</v>
      </c>
      <c r="F20" s="12" t="n">
        <v>0.213</v>
      </c>
      <c r="G20" s="12" t="n">
        <v>0.2708</v>
      </c>
      <c r="I20" s="2">
        <f>A20</f>
        <v/>
      </c>
      <c r="Q20" s="2">
        <f>A20</f>
        <v/>
      </c>
      <c r="R20" s="2">
        <f>ABS(B20-J20)</f>
        <v/>
      </c>
      <c r="S20" s="2">
        <f>ABS(C20-K20)</f>
        <v/>
      </c>
      <c r="T20" s="2">
        <f>ABS(D20-L20)</f>
        <v/>
      </c>
      <c r="U20" s="2">
        <f>ABS(E20-M20)</f>
        <v/>
      </c>
      <c r="V20" s="2">
        <f>ABS(F20-N20)</f>
        <v/>
      </c>
      <c r="W20" s="2">
        <f>ABS(G20-O20)</f>
        <v/>
      </c>
    </row>
    <row r="21">
      <c r="A21" s="15" t="inlineStr">
        <is>
          <t>INTC</t>
        </is>
      </c>
      <c r="B21" s="2" t="n">
        <v>-200.22</v>
      </c>
      <c r="C21" s="2" t="n">
        <v>-0.6732</v>
      </c>
      <c r="D21" s="12" t="n">
        <v>-0.5861</v>
      </c>
      <c r="E21" s="12" t="n">
        <v>-0.059</v>
      </c>
      <c r="F21" s="16" t="n">
        <v>-0.03</v>
      </c>
      <c r="G21" s="16" t="n">
        <v>0</v>
      </c>
      <c r="I21" s="2">
        <f>A21</f>
        <v/>
      </c>
      <c r="Q21" s="2">
        <f>A21</f>
        <v/>
      </c>
      <c r="R21" s="2">
        <f>ABS(B21-J21)</f>
        <v/>
      </c>
      <c r="S21" s="2">
        <f>ABS(C21-K21)</f>
        <v/>
      </c>
      <c r="T21" s="2">
        <f>ABS(D21-L21)</f>
        <v/>
      </c>
      <c r="U21" s="2">
        <f>ABS(E21-M21)</f>
        <v/>
      </c>
      <c r="V21" s="2">
        <f>ABS(F21-N21)</f>
        <v/>
      </c>
      <c r="W21" s="2">
        <f>ABS(G21-O21)</f>
        <v/>
      </c>
    </row>
    <row r="22">
      <c r="A22" s="15" t="inlineStr">
        <is>
          <t>MFG</t>
        </is>
      </c>
      <c r="B22" s="2" t="n">
        <v>15.35</v>
      </c>
      <c r="C22" s="2" t="n">
        <v>502.92</v>
      </c>
      <c r="D22" s="12" t="n">
        <v>0.1409</v>
      </c>
      <c r="E22" s="12" t="n">
        <v>0.2837</v>
      </c>
      <c r="F22" s="12" t="n">
        <v>0.115</v>
      </c>
      <c r="G22" s="12" t="n">
        <v>0.2963</v>
      </c>
      <c r="I22" s="2">
        <f>A22</f>
        <v/>
      </c>
      <c r="Q22" s="2">
        <f>A22</f>
        <v/>
      </c>
      <c r="R22" s="2">
        <f>ABS(B22-J22)</f>
        <v/>
      </c>
      <c r="S22" s="2">
        <f>ABS(C22-K22)</f>
        <v/>
      </c>
      <c r="T22" s="2">
        <f>ABS(D22-L22)</f>
        <v/>
      </c>
      <c r="U22" s="2">
        <f>ABS(E22-M22)</f>
        <v/>
      </c>
      <c r="V22" s="2">
        <f>ABS(F22-N22)</f>
        <v/>
      </c>
      <c r="W22" s="2">
        <f>ABS(G22-O22)</f>
        <v/>
      </c>
    </row>
    <row r="23">
      <c r="A23" s="15" t="inlineStr">
        <is>
          <t>KGC</t>
        </is>
      </c>
      <c r="B23" s="2" t="n">
        <v>9.99</v>
      </c>
      <c r="C23" s="2" t="n">
        <v>2.3504</v>
      </c>
      <c r="D23" s="12" t="n">
        <v>0.0386</v>
      </c>
      <c r="E23" s="12" t="n">
        <v>0.3599</v>
      </c>
      <c r="F23" s="12" t="n">
        <v>0.352</v>
      </c>
      <c r="G23" s="12" t="n">
        <v>0.0569</v>
      </c>
      <c r="I23" s="2">
        <f>A23</f>
        <v/>
      </c>
      <c r="Q23" s="2">
        <f>A23</f>
        <v/>
      </c>
      <c r="R23" s="2">
        <f>ABS(B23-J23)</f>
        <v/>
      </c>
      <c r="S23" s="2">
        <f>ABS(C23-K23)</f>
        <v/>
      </c>
      <c r="T23" s="2">
        <f>ABS(D23-L23)</f>
        <v/>
      </c>
      <c r="U23" s="2">
        <f>ABS(E23-M23)</f>
        <v/>
      </c>
      <c r="V23" s="2">
        <f>ABS(F23-N23)</f>
        <v/>
      </c>
      <c r="W23" s="2">
        <f>ABS(G23-O23)</f>
        <v/>
      </c>
    </row>
    <row r="24">
      <c r="A24" s="15" t="inlineStr">
        <is>
          <t>LFC</t>
        </is>
      </c>
      <c r="B24" s="2" t="inlineStr">
        <is>
          <t>NO EXISTE EN INV</t>
        </is>
      </c>
      <c r="I24" s="2">
        <f>A24</f>
        <v/>
      </c>
      <c r="Q24" s="2">
        <f>A24</f>
        <v/>
      </c>
      <c r="R24" s="2">
        <f>ABS(B24-J24)</f>
        <v/>
      </c>
      <c r="S24" s="2">
        <f>ABS(C24-K24)</f>
        <v/>
      </c>
      <c r="T24" s="2">
        <f>ABS(D24-L24)</f>
        <v/>
      </c>
      <c r="U24" s="2">
        <f>ABS(E24-M24)</f>
        <v/>
      </c>
      <c r="V24" s="2">
        <f>ABS(F24-N24)</f>
        <v/>
      </c>
      <c r="W24" s="2">
        <f>ABS(G24-O24)</f>
        <v/>
      </c>
    </row>
    <row r="25">
      <c r="A25" s="15" t="inlineStr">
        <is>
          <t>AMAT</t>
        </is>
      </c>
      <c r="B25" s="2" t="n">
        <v>54.66</v>
      </c>
      <c r="C25" s="2" t="n">
        <v>10.6325</v>
      </c>
      <c r="D25" s="12" t="n">
        <v>0.1676</v>
      </c>
      <c r="E25" s="12" t="n">
        <v>0.2931</v>
      </c>
      <c r="F25" s="12" t="n">
        <v>0.397</v>
      </c>
      <c r="G25" s="12" t="n">
        <v>0.172</v>
      </c>
      <c r="I25" s="2">
        <f>A25</f>
        <v/>
      </c>
      <c r="Q25" s="2">
        <f>A25</f>
        <v/>
      </c>
      <c r="R25" s="2">
        <f>ABS(B25-J25)</f>
        <v/>
      </c>
      <c r="S25" s="2">
        <f>ABS(C25-K25)</f>
        <v/>
      </c>
      <c r="T25" s="2">
        <f>ABS(D25-L25)</f>
        <v/>
      </c>
      <c r="U25" s="2">
        <f>ABS(E25-M25)</f>
        <v/>
      </c>
      <c r="V25" s="2">
        <f>ABS(F25-N25)</f>
        <v/>
      </c>
      <c r="W25" s="2">
        <f>ABS(G25-O25)</f>
        <v/>
      </c>
    </row>
    <row r="26">
      <c r="A26" s="15" t="inlineStr">
        <is>
          <t>CEO</t>
        </is>
      </c>
      <c r="B26" s="2" t="n">
        <v>44.78</v>
      </c>
      <c r="C26" s="2" t="n">
        <v>337.2007</v>
      </c>
      <c r="F26" s="12" t="n">
        <v>0.032</v>
      </c>
      <c r="H26" s="2" t="inlineStr">
        <is>
          <t>ACLARACION:EMPRESA CHINA</t>
        </is>
      </c>
      <c r="I26" s="2">
        <f>A26</f>
        <v/>
      </c>
      <c r="Q26" s="2">
        <f>A26</f>
        <v/>
      </c>
      <c r="R26" s="2">
        <f>ABS(B26-J26)</f>
        <v/>
      </c>
      <c r="S26" s="2">
        <f>ABS(C26-K26)</f>
        <v/>
      </c>
      <c r="T26" s="2">
        <f>ABS(D26-L26)</f>
        <v/>
      </c>
      <c r="U26" s="2">
        <f>ABS(E26-M26)</f>
        <v/>
      </c>
      <c r="V26" s="2">
        <f>ABS(F26-N26)</f>
        <v/>
      </c>
      <c r="W26" s="2">
        <f>ABS(G26-O26)</f>
        <v/>
      </c>
    </row>
    <row r="27">
      <c r="A27" s="15" t="inlineStr">
        <is>
          <t>JNJ</t>
        </is>
      </c>
      <c r="B27" s="2" t="n">
        <v>27.81</v>
      </c>
      <c r="C27" s="2" t="n">
        <v>8.635400000000001</v>
      </c>
      <c r="D27" s="12" t="n">
        <v>0.0518</v>
      </c>
      <c r="E27" s="12" t="n">
        <v>0.2183</v>
      </c>
      <c r="F27" s="12" t="n">
        <v>0.264</v>
      </c>
      <c r="G27" s="12" t="n">
        <v>0.5952</v>
      </c>
      <c r="I27" s="2">
        <f>A27</f>
        <v/>
      </c>
      <c r="Q27" s="2">
        <f>A27</f>
        <v/>
      </c>
      <c r="R27" s="2">
        <f>ABS(B27-J27)</f>
        <v/>
      </c>
      <c r="S27" s="2">
        <f>ABS(C27-K27)</f>
        <v/>
      </c>
      <c r="T27" s="2">
        <f>ABS(D27-L27)</f>
        <v/>
      </c>
      <c r="U27" s="2">
        <f>ABS(E27-M27)</f>
        <v/>
      </c>
      <c r="V27" s="2">
        <f>ABS(F27-N27)</f>
        <v/>
      </c>
      <c r="W27" s="2">
        <f>ABS(G27-O27)</f>
        <v/>
      </c>
    </row>
    <row r="28">
      <c r="A28" s="15" t="inlineStr">
        <is>
          <t>BIIB</t>
        </is>
      </c>
      <c r="B28" s="2" t="n">
        <v>21.69</v>
      </c>
      <c r="C28" s="2" t="n">
        <v>8.83</v>
      </c>
      <c r="D28" s="2" t="n">
        <v>-18.73</v>
      </c>
      <c r="E28" s="12" t="n">
        <v>0.1381</v>
      </c>
      <c r="F28" s="12" t="n">
        <v>0.077</v>
      </c>
      <c r="G28" s="12" t="n">
        <v>0.477</v>
      </c>
      <c r="H28" s="2" t="inlineStr">
        <is>
          <t>paymont industry</t>
        </is>
      </c>
      <c r="I28" s="2">
        <f>A28</f>
        <v/>
      </c>
      <c r="Q28" s="2">
        <f>A28</f>
        <v/>
      </c>
      <c r="R28" s="2">
        <f>ABS(B28-J28)</f>
        <v/>
      </c>
      <c r="S28" s="2">
        <f>ABS(C28-K28)</f>
        <v/>
      </c>
      <c r="T28" s="2">
        <f>ABS(D28-L28)</f>
        <v/>
      </c>
      <c r="U28" s="2">
        <f>ABS(E28-M28)</f>
        <v/>
      </c>
      <c r="V28" s="2">
        <f>ABS(F28-N28)</f>
        <v/>
      </c>
      <c r="W28" s="2">
        <f>ABS(G28-O28)</f>
        <v/>
      </c>
    </row>
    <row r="29">
      <c r="A29" s="15" t="inlineStr">
        <is>
          <t>LMT</t>
        </is>
      </c>
      <c r="B29" s="2" t="n">
        <v>24.01</v>
      </c>
      <c r="C29" s="2" t="n">
        <v>20.6204</v>
      </c>
      <c r="D29" s="12" t="n">
        <v>0.0619</v>
      </c>
      <c r="E29" s="12" t="n">
        <v>0.0638</v>
      </c>
      <c r="F29" s="12" t="n">
        <v>0.676</v>
      </c>
      <c r="G29" s="12" t="n">
        <v>0.6574</v>
      </c>
      <c r="I29" s="2">
        <f>A29</f>
        <v/>
      </c>
      <c r="Q29" s="2">
        <f>A29</f>
        <v/>
      </c>
      <c r="R29" s="2">
        <f>ABS(B29-J29)</f>
        <v/>
      </c>
      <c r="S29" s="2">
        <f>ABS(C29-K29)</f>
        <v/>
      </c>
      <c r="T29" s="2">
        <f>ABS(D29-L29)</f>
        <v/>
      </c>
      <c r="U29" s="2">
        <f>ABS(E29-M29)</f>
        <v/>
      </c>
      <c r="V29" s="2">
        <f>ABS(F29-N29)</f>
        <v/>
      </c>
      <c r="W29" s="2">
        <f>ABS(G29-O29)</f>
        <v/>
      </c>
    </row>
    <row r="30">
      <c r="A30" s="15" t="inlineStr">
        <is>
          <t>BHP</t>
        </is>
      </c>
      <c r="B30" s="2" t="n">
        <v>19.87</v>
      </c>
      <c r="C30" s="2" t="n">
        <v>2.0131</v>
      </c>
      <c r="D30" s="12" t="n">
        <v>0.0314</v>
      </c>
      <c r="E30" s="12" t="n">
        <v>0.1897</v>
      </c>
      <c r="F30" s="12" t="n">
        <v>0.214</v>
      </c>
      <c r="G30" s="12" t="n">
        <v>0.5485</v>
      </c>
      <c r="I30" s="2">
        <f>A30</f>
        <v/>
      </c>
      <c r="Q30" s="2">
        <f>A30</f>
        <v/>
      </c>
      <c r="R30" s="2">
        <f>ABS(B30-J30)</f>
        <v/>
      </c>
      <c r="S30" s="2">
        <f>ABS(C30-K30)</f>
        <v/>
      </c>
      <c r="T30" s="2">
        <f>ABS(D30-L30)</f>
        <v/>
      </c>
      <c r="U30" s="2">
        <f>ABS(E30-M30)</f>
        <v/>
      </c>
      <c r="V30" s="2">
        <f>ABS(F30-N30)</f>
        <v/>
      </c>
      <c r="W30" s="2">
        <f>ABS(G30-O30)</f>
        <v/>
      </c>
    </row>
    <row r="31">
      <c r="A31" s="15" t="inlineStr">
        <is>
          <t>EBAY</t>
        </is>
      </c>
      <c r="B31" s="2" t="n">
        <v>25.45</v>
      </c>
      <c r="C31" s="2" t="n">
        <v>4.3296</v>
      </c>
      <c r="D31" s="12" t="n">
        <v>0.1232</v>
      </c>
      <c r="E31" s="12" t="n">
        <v>0.1761</v>
      </c>
      <c r="F31" s="12" t="n">
        <v>0.429</v>
      </c>
      <c r="G31" s="12" t="n">
        <v>0.2622</v>
      </c>
      <c r="I31" s="2">
        <f>A31</f>
        <v/>
      </c>
      <c r="Q31" s="2">
        <f>A31</f>
        <v/>
      </c>
      <c r="R31" s="2">
        <f>ABS(B31-J31)</f>
        <v/>
      </c>
      <c r="S31" s="2">
        <f>ABS(C31-K31)</f>
        <v/>
      </c>
      <c r="T31" s="2">
        <f>ABS(D31-L31)</f>
        <v/>
      </c>
      <c r="U31" s="2">
        <f>ABS(E31-M31)</f>
        <v/>
      </c>
      <c r="V31" s="2">
        <f>ABS(F31-N31)</f>
        <v/>
      </c>
      <c r="W31" s="2">
        <f>ABS(G31-O31)</f>
        <v/>
      </c>
    </row>
    <row r="32">
      <c r="A32" s="15" t="inlineStr">
        <is>
          <t>NEM</t>
        </is>
      </c>
      <c r="B32" s="2" t="n">
        <v>12.18</v>
      </c>
      <c r="C32" s="2" t="n">
        <v>7.6938</v>
      </c>
      <c r="D32" s="12" t="n">
        <v>0.1023</v>
      </c>
      <c r="E32" s="12" t="n">
        <v>0.3387</v>
      </c>
      <c r="F32" s="12" t="n">
        <v>0.256</v>
      </c>
      <c r="G32" s="12" t="n">
        <v>0.138</v>
      </c>
      <c r="I32" s="2">
        <f>A32</f>
        <v/>
      </c>
      <c r="Q32" s="2">
        <f>A32</f>
        <v/>
      </c>
      <c r="R32" s="2">
        <f>ABS(B32-J32)</f>
        <v/>
      </c>
      <c r="S32" s="2">
        <f>ABS(C32-K32)</f>
        <v/>
      </c>
      <c r="T32" s="2">
        <f>ABS(D32-L32)</f>
        <v/>
      </c>
      <c r="U32" s="2">
        <f>ABS(E32-M32)</f>
        <v/>
      </c>
      <c r="V32" s="2">
        <f>ABS(F32-N32)</f>
        <v/>
      </c>
      <c r="W32" s="2">
        <f>ABS(G32-O32)</f>
        <v/>
      </c>
    </row>
    <row r="33">
      <c r="A33" s="15" t="inlineStr">
        <is>
          <t>ERIC</t>
        </is>
      </c>
      <c r="B33" s="2" t="n">
        <v>10.96</v>
      </c>
      <c r="C33" s="2" t="n">
        <v>7.5391</v>
      </c>
      <c r="D33" s="12" t="n">
        <v>0.08450000000000001</v>
      </c>
      <c r="E33" s="12" t="n">
        <v>0.109</v>
      </c>
      <c r="F33" s="12" t="n">
        <v>0.267</v>
      </c>
      <c r="G33" s="12" t="n">
        <v>0.3374</v>
      </c>
      <c r="I33" s="2">
        <f>A33</f>
        <v/>
      </c>
      <c r="Q33" s="2">
        <f>A33</f>
        <v/>
      </c>
      <c r="R33" s="2">
        <f>ABS(B33-J33)</f>
        <v/>
      </c>
      <c r="S33" s="2">
        <f>ABS(C33-K33)</f>
        <v/>
      </c>
      <c r="T33" s="2">
        <f>ABS(D33-L33)</f>
        <v/>
      </c>
      <c r="U33" s="2">
        <f>ABS(E33-M33)</f>
        <v/>
      </c>
      <c r="V33" s="2">
        <f>ABS(F33-N33)</f>
        <v/>
      </c>
      <c r="W33" s="2">
        <f>ABS(G33-O33)</f>
        <v/>
      </c>
    </row>
    <row r="34">
      <c r="A34" s="15" t="inlineStr">
        <is>
          <t>PG</t>
        </is>
      </c>
      <c r="B34" s="2" t="n">
        <v>22.33</v>
      </c>
      <c r="C34" s="2" t="n">
        <v>6.8376</v>
      </c>
      <c r="D34" s="12" t="n">
        <v>0.0597</v>
      </c>
      <c r="E34" s="12" t="n">
        <v>0.1916</v>
      </c>
      <c r="F34" s="16" t="n">
        <v>0.31</v>
      </c>
      <c r="G34" s="12" t="n">
        <v>0.6124000000000001</v>
      </c>
      <c r="I34" s="2">
        <f>A34</f>
        <v/>
      </c>
      <c r="Q34" s="2">
        <f>A34</f>
        <v/>
      </c>
      <c r="R34" s="2">
        <f>ABS(B34-J34)</f>
        <v/>
      </c>
      <c r="S34" s="2">
        <f>ABS(C34-K34)</f>
        <v/>
      </c>
      <c r="T34" s="2">
        <f>ABS(D34-L34)</f>
        <v/>
      </c>
      <c r="U34" s="2">
        <f>ABS(E34-M34)</f>
        <v/>
      </c>
      <c r="V34" s="2">
        <f>ABS(F34-N34)</f>
        <v/>
      </c>
      <c r="W34" s="2">
        <f>ABS(G34-O34)</f>
        <v/>
      </c>
    </row>
    <row r="35">
      <c r="A35" s="15" t="n"/>
      <c r="B35" s="13" t="inlineStr">
        <is>
          <t>P/E RatioTTM</t>
        </is>
      </c>
      <c r="C35" s="14" t="inlineStr">
        <is>
          <t>Diluted EPSANN</t>
        </is>
      </c>
      <c r="D35" s="14" t="inlineStr">
        <is>
          <t>5 Year EPS Growth5YA</t>
        </is>
      </c>
      <c r="E35" s="14" t="inlineStr">
        <is>
          <t>Net Profit marginTTM</t>
        </is>
      </c>
      <c r="F35" s="13" t="inlineStr">
        <is>
          <t>Return on EquityTTM</t>
        </is>
      </c>
      <c r="G35" s="14" t="inlineStr">
        <is>
          <t>Payout RatioTTM</t>
        </is>
      </c>
      <c r="I35" s="2">
        <f>A35</f>
        <v/>
      </c>
      <c r="R35" s="2" t="n"/>
    </row>
    <row r="36">
      <c r="A36" s="15" t="inlineStr">
        <is>
          <t>SNA</t>
        </is>
      </c>
      <c r="B36" s="19" t="n">
        <v>20.34</v>
      </c>
      <c r="C36" s="19" t="n">
        <v>19.19</v>
      </c>
      <c r="D36" s="20" t="n">
        <v>0.109</v>
      </c>
      <c r="E36" s="20" t="n">
        <v>0.196</v>
      </c>
      <c r="F36" s="20" t="n">
        <v>0.182</v>
      </c>
      <c r="G36" s="20" t="n">
        <v>0.4659</v>
      </c>
      <c r="I36" s="2">
        <f>A36</f>
        <v/>
      </c>
      <c r="Q36" s="2">
        <f>A36</f>
        <v/>
      </c>
      <c r="R36" s="2">
        <f>ABS(B36-J36)</f>
        <v/>
      </c>
      <c r="S36" s="2">
        <f>ABS(C36-K36)</f>
        <v/>
      </c>
      <c r="T36" s="2">
        <f>ABS(D36-L36)</f>
        <v/>
      </c>
      <c r="U36" s="2">
        <f>ABS(E36-M36)</f>
        <v/>
      </c>
      <c r="V36" s="2">
        <f>ABS(F36-N36)</f>
        <v/>
      </c>
      <c r="W36" s="2">
        <f>ABS(G36-O36)</f>
        <v/>
      </c>
    </row>
    <row r="37">
      <c r="A37" s="15" t="inlineStr">
        <is>
          <t>CL</t>
        </is>
      </c>
      <c r="B37" s="19" t="n">
        <v>36</v>
      </c>
      <c r="C37" s="19" t="n">
        <v>2.63</v>
      </c>
      <c r="D37" s="20" t="n">
        <v>-0.0348</v>
      </c>
      <c r="E37" s="20" t="n">
        <v>0.1004</v>
      </c>
      <c r="F37" s="20" t="n">
        <v>3.6358</v>
      </c>
      <c r="G37" s="20" t="n">
        <v>0.8784</v>
      </c>
      <c r="I37" s="2">
        <f>A37</f>
        <v/>
      </c>
      <c r="Q37" s="2">
        <f>A37</f>
        <v/>
      </c>
      <c r="R37" s="2">
        <f>ABS(B37-J37)</f>
        <v/>
      </c>
      <c r="S37" s="2">
        <f>ABS(C37-K37)</f>
        <v/>
      </c>
      <c r="T37" s="2">
        <f>ABS(D37-L37)</f>
        <v/>
      </c>
      <c r="U37" s="2">
        <f>ABS(E37-M37)</f>
        <v/>
      </c>
      <c r="V37" s="2">
        <f>ABS(F37-N37)</f>
        <v/>
      </c>
      <c r="W37" s="2">
        <f>ABS(G37-O37)</f>
        <v/>
      </c>
    </row>
    <row r="38">
      <c r="A38" s="15" t="inlineStr">
        <is>
          <t>ELP</t>
        </is>
      </c>
      <c r="B38" s="2" t="inlineStr">
        <is>
          <t>Joaquin</t>
        </is>
      </c>
      <c r="I38" s="2">
        <f>A38</f>
        <v/>
      </c>
      <c r="Q38" s="2">
        <f>A38</f>
        <v/>
      </c>
      <c r="R38" s="2">
        <f>ABS(B38-J38)</f>
        <v/>
      </c>
      <c r="S38" s="2">
        <f>ABS(C38-K38)</f>
        <v/>
      </c>
      <c r="T38" s="2">
        <f>ABS(D38-L38)</f>
        <v/>
      </c>
      <c r="U38" s="2">
        <f>ABS(E38-M38)</f>
        <v/>
      </c>
      <c r="V38" s="2">
        <f>ABS(F38-N38)</f>
        <v/>
      </c>
      <c r="W38" s="2">
        <f>ABS(G38-O38)</f>
        <v/>
      </c>
    </row>
    <row r="39">
      <c r="A39" s="15" t="inlineStr">
        <is>
          <t>HPQ</t>
        </is>
      </c>
      <c r="B39" s="19" t="n">
        <v>8.619999999999999</v>
      </c>
      <c r="C39" s="19" t="n">
        <v>2.65</v>
      </c>
      <c r="D39" s="20" t="n">
        <v>0.0579</v>
      </c>
      <c r="E39" s="20" t="n">
        <v>0.0445</v>
      </c>
      <c r="F39" s="20" t="n">
        <v>-3.5958</v>
      </c>
      <c r="G39" s="20" t="n">
        <v>0.4281</v>
      </c>
      <c r="I39" s="2">
        <f>A39</f>
        <v/>
      </c>
      <c r="Q39" s="2">
        <f>A39</f>
        <v/>
      </c>
      <c r="R39" s="2">
        <f>ABS(B39-J39)</f>
        <v/>
      </c>
      <c r="S39" s="2">
        <f>ABS(C39-K39)</f>
        <v/>
      </c>
      <c r="T39" s="2">
        <f>ABS(D39-L39)</f>
        <v/>
      </c>
      <c r="U39" s="2">
        <f>ABS(E39-M39)</f>
        <v/>
      </c>
      <c r="V39" s="2">
        <f>ABS(F39-N39)</f>
        <v/>
      </c>
      <c r="W39" s="2">
        <f>ABS(G39-O39)</f>
        <v/>
      </c>
    </row>
    <row r="40">
      <c r="A40" s="15" t="inlineStr">
        <is>
          <t>KMB</t>
        </is>
      </c>
      <c r="B40" s="19" t="n">
        <v>20.8</v>
      </c>
      <c r="C40" s="19" t="n">
        <v>4.86</v>
      </c>
      <c r="D40" s="20" t="n">
        <v>-0.0669</v>
      </c>
      <c r="E40" s="20" t="n">
        <v>0.128</v>
      </c>
      <c r="F40" s="20" t="n">
        <v>1.1173</v>
      </c>
      <c r="G40" s="20" t="n">
        <v>0.7895</v>
      </c>
      <c r="I40" s="2">
        <f>A40</f>
        <v/>
      </c>
      <c r="Q40" s="2">
        <f>A40</f>
        <v/>
      </c>
      <c r="R40" s="2">
        <f>ABS(B40-J40)</f>
        <v/>
      </c>
      <c r="S40" s="2">
        <f>ABS(C40-K40)</f>
        <v/>
      </c>
      <c r="T40" s="2">
        <f>ABS(D40-L40)</f>
        <v/>
      </c>
      <c r="U40" s="2">
        <f>ABS(E40-M40)</f>
        <v/>
      </c>
      <c r="V40" s="2">
        <f>ABS(F40-N40)</f>
        <v/>
      </c>
      <c r="W40" s="2">
        <f>ABS(G40-O40)</f>
        <v/>
      </c>
    </row>
    <row r="41">
      <c r="A41" s="15" t="inlineStr">
        <is>
          <t>TX</t>
        </is>
      </c>
      <c r="B41" s="19" t="n">
        <v>15.66</v>
      </c>
      <c r="C41" s="19" t="n">
        <v>2.17</v>
      </c>
      <c r="D41" s="20" t="n">
        <v>-0.1139</v>
      </c>
      <c r="E41" s="20" t="n">
        <v>0.0366</v>
      </c>
      <c r="F41" s="20" t="n">
        <v>0.0323</v>
      </c>
      <c r="G41" s="20" t="n">
        <v>0.9278</v>
      </c>
      <c r="I41" s="2">
        <f>A41</f>
        <v/>
      </c>
      <c r="Q41" s="2">
        <f>A41</f>
        <v/>
      </c>
      <c r="R41" s="2">
        <f>ABS(B41-J41)</f>
        <v/>
      </c>
      <c r="S41" s="2">
        <f>ABS(C41-K41)</f>
        <v/>
      </c>
      <c r="T41" s="2">
        <f>ABS(D41-L41)</f>
        <v/>
      </c>
      <c r="U41" s="2">
        <f>ABS(E41-M41)</f>
        <v/>
      </c>
      <c r="V41" s="2">
        <f>ABS(F41-N41)</f>
        <v/>
      </c>
      <c r="W41" s="2">
        <f>ABS(G41-O41)</f>
        <v/>
      </c>
    </row>
    <row r="42">
      <c r="A42" s="15" t="inlineStr">
        <is>
          <t>MBT</t>
        </is>
      </c>
      <c r="I42" s="2">
        <f>A42</f>
        <v/>
      </c>
      <c r="Q42" s="2">
        <f>A42</f>
        <v/>
      </c>
      <c r="R42" s="2">
        <f>ABS(B43-J42)</f>
        <v/>
      </c>
      <c r="S42" s="2">
        <f>ABS(C43-K42)</f>
        <v/>
      </c>
      <c r="T42" s="2">
        <f>ABS(D43-L42)</f>
        <v/>
      </c>
      <c r="U42" s="2">
        <f>ABS(E43-M42)</f>
        <v/>
      </c>
      <c r="V42" s="2">
        <f>ABS(F43-N42)</f>
        <v/>
      </c>
      <c r="W42" s="2">
        <f>ABS(G43-O42)</f>
        <v/>
      </c>
    </row>
    <row r="43">
      <c r="A43" s="15" t="inlineStr">
        <is>
          <t>WMT</t>
        </is>
      </c>
      <c r="B43" s="19" t="n">
        <v>42.1</v>
      </c>
      <c r="C43" s="19" t="n">
        <v>2.73</v>
      </c>
      <c r="D43" s="20" t="n">
        <v>0.1151</v>
      </c>
      <c r="E43" s="20" t="n">
        <v>0.0313</v>
      </c>
      <c r="F43" s="20" t="n">
        <v>0.2413</v>
      </c>
      <c r="G43" s="20" t="n">
        <v>0.3342</v>
      </c>
      <c r="I43" s="2">
        <f>A43</f>
        <v/>
      </c>
      <c r="Q43" s="2">
        <f>A43</f>
        <v/>
      </c>
      <c r="R43" s="2">
        <f>ABS(#REF!-J43)</f>
        <v/>
      </c>
      <c r="S43" s="2">
        <f>ABS(#REF!-K43)</f>
        <v/>
      </c>
      <c r="T43" s="2">
        <f>ABS(#REF!-L43)</f>
        <v/>
      </c>
      <c r="U43" s="2">
        <f>ABS(#REF!-M43)</f>
        <v/>
      </c>
      <c r="V43" s="2">
        <f>ABS(#REF!-N43)</f>
        <v/>
      </c>
      <c r="W43" s="2">
        <f>ABS(#REF!-O43)</f>
        <v/>
      </c>
    </row>
    <row r="44">
      <c r="A44" s="15" t="inlineStr">
        <is>
          <t>HD</t>
        </is>
      </c>
      <c r="B44" s="19" t="n">
        <v>24.14</v>
      </c>
      <c r="C44" s="19" t="n">
        <v>14.23</v>
      </c>
      <c r="D44" s="20" t="n">
        <v>0.0357</v>
      </c>
      <c r="E44" s="20" t="n">
        <v>0.08409999999999999</v>
      </c>
      <c r="F44" s="20" t="n">
        <v>1.2838</v>
      </c>
      <c r="G44" s="20" t="n">
        <v>0.6556</v>
      </c>
      <c r="I44" s="2">
        <f>A44</f>
        <v/>
      </c>
      <c r="Q44" s="2">
        <f>A44</f>
        <v/>
      </c>
      <c r="R44" s="2">
        <f>ABS(B44-J44)</f>
        <v/>
      </c>
      <c r="S44" s="2">
        <f>ABS(C44-K44)</f>
        <v/>
      </c>
      <c r="T44" s="2">
        <f>ABS(D44-L44)</f>
        <v/>
      </c>
      <c r="U44" s="2">
        <f>ABS(E44-M44)</f>
        <v/>
      </c>
      <c r="V44" s="2">
        <f>ABS(F44-N44)</f>
        <v/>
      </c>
      <c r="W44" s="2">
        <f>ABS(G44-O44)</f>
        <v/>
      </c>
    </row>
    <row r="45">
      <c r="A45" s="15" t="inlineStr">
        <is>
          <t>PTR</t>
        </is>
      </c>
      <c r="B45" s="2" t="inlineStr">
        <is>
          <t>Joaquin</t>
        </is>
      </c>
      <c r="I45" s="2">
        <f>A45</f>
        <v/>
      </c>
      <c r="Q45" s="2">
        <f>A45</f>
        <v/>
      </c>
      <c r="R45" s="2">
        <f>ABS(B45-J45)</f>
        <v/>
      </c>
      <c r="S45" s="2">
        <f>ABS(C45-K45)</f>
        <v/>
      </c>
      <c r="T45" s="2">
        <f>ABS(D45-L45)</f>
        <v/>
      </c>
      <c r="U45" s="2">
        <f>ABS(E45-M45)</f>
        <v/>
      </c>
      <c r="V45" s="2">
        <f>ABS(F45-N45)</f>
        <v/>
      </c>
      <c r="W45" s="2">
        <f>ABS(G45-O45)</f>
        <v/>
      </c>
    </row>
    <row r="46">
      <c r="A46" s="15" t="inlineStr">
        <is>
          <t>AVY</t>
        </is>
      </c>
      <c r="B46" s="2" t="inlineStr">
        <is>
          <t>Joaquin</t>
        </is>
      </c>
      <c r="I46" s="2">
        <f>A46</f>
        <v/>
      </c>
      <c r="Q46" s="2">
        <f>A46</f>
        <v/>
      </c>
      <c r="R46" s="2">
        <f>ABS(B46-J46)</f>
        <v/>
      </c>
      <c r="S46" s="2">
        <f>ABS(C46-K46)</f>
        <v/>
      </c>
      <c r="T46" s="2">
        <f>ABS(D46-L46)</f>
        <v/>
      </c>
      <c r="U46" s="2">
        <f>ABS(E46-M46)</f>
        <v/>
      </c>
      <c r="V46" s="2">
        <f>ABS(F46-N46)</f>
        <v/>
      </c>
      <c r="W46" s="2">
        <f>ABS(G46-O46)</f>
        <v/>
      </c>
    </row>
    <row r="47">
      <c r="A47" s="15" t="inlineStr">
        <is>
          <t>TGT</t>
        </is>
      </c>
      <c r="B47" s="21" t="n">
        <v>18.31</v>
      </c>
      <c r="C47" s="19" t="n">
        <v>8.130000000000001</v>
      </c>
      <c r="D47" s="20" t="n">
        <v>-0.0121</v>
      </c>
      <c r="E47" s="20" t="n">
        <v>0.0324</v>
      </c>
      <c r="F47" s="20" t="n">
        <v>0.2202</v>
      </c>
      <c r="G47" s="20" t="n">
        <v>0.5968</v>
      </c>
      <c r="I47" s="2">
        <f>A47</f>
        <v/>
      </c>
      <c r="Q47" s="2">
        <f>A47</f>
        <v/>
      </c>
      <c r="R47" s="2">
        <f>ABS(B47-J47)</f>
        <v/>
      </c>
      <c r="S47" s="2">
        <f>ABS(C47-K47)</f>
        <v/>
      </c>
      <c r="T47" s="2">
        <f>ABS(D47-L47)</f>
        <v/>
      </c>
      <c r="U47" s="2">
        <f>ABS(E47-M47)</f>
        <v/>
      </c>
      <c r="V47" s="2">
        <f>ABS(F47-N47)</f>
        <v/>
      </c>
      <c r="W47" s="2">
        <f>ABS(G47-O47)</f>
        <v/>
      </c>
    </row>
    <row r="48">
      <c r="A48" s="15" t="inlineStr">
        <is>
          <t>NVS</t>
        </is>
      </c>
      <c r="B48" s="19" t="n">
        <v>21.86</v>
      </c>
      <c r="C48" s="19" t="n">
        <v>7.15</v>
      </c>
      <c r="D48" s="20" t="n">
        <v>0.1523</v>
      </c>
      <c r="E48" s="20" t="n">
        <v>0.2392</v>
      </c>
      <c r="F48" s="20" t="n">
        <v>0.3493</v>
      </c>
      <c r="G48" s="20" t="n">
        <v>0.6415</v>
      </c>
      <c r="I48" s="2">
        <f>A48</f>
        <v/>
      </c>
      <c r="Q48" s="2">
        <f>A48</f>
        <v/>
      </c>
      <c r="R48" s="2">
        <f>ABS(B48-J48)</f>
        <v/>
      </c>
      <c r="S48" s="2">
        <f>ABS(C48-K48)</f>
        <v/>
      </c>
      <c r="T48" s="2">
        <f>ABS(D48-L48)</f>
        <v/>
      </c>
      <c r="U48" s="2">
        <f>ABS(E48-M48)</f>
        <v/>
      </c>
      <c r="V48" s="2">
        <f>ABS(F48-N48)</f>
        <v/>
      </c>
      <c r="W48" s="2">
        <f>ABS(G48-O48)</f>
        <v/>
      </c>
    </row>
    <row r="49">
      <c r="A49" s="15" t="inlineStr">
        <is>
          <t>SAP</t>
        </is>
      </c>
      <c r="B49" s="19" t="n">
        <v>21.61</v>
      </c>
      <c r="C49" s="19" t="n">
        <v>6.1</v>
      </c>
      <c r="D49" s="22" t="n">
        <v>0.07000000000000001</v>
      </c>
      <c r="E49" s="20" t="n">
        <v>0.1958</v>
      </c>
      <c r="F49" s="20" t="n">
        <v>0.1635</v>
      </c>
      <c r="G49" s="20" t="n">
        <v>0.3751</v>
      </c>
      <c r="I49" s="2">
        <f>A49</f>
        <v/>
      </c>
      <c r="Q49" s="2">
        <f>A49</f>
        <v/>
      </c>
      <c r="R49" s="2">
        <f>ABS(B49-J49)</f>
        <v/>
      </c>
      <c r="S49" s="2">
        <f>ABS(C49-K49)</f>
        <v/>
      </c>
      <c r="T49" s="2">
        <f>ABS(D49-L49)</f>
        <v/>
      </c>
      <c r="U49" s="2">
        <f>ABS(E49-M49)</f>
        <v/>
      </c>
      <c r="V49" s="2">
        <f>ABS(F49-N49)</f>
        <v/>
      </c>
      <c r="W49" s="2">
        <f>ABS(G49-O49)</f>
        <v/>
      </c>
    </row>
    <row r="50">
      <c r="A50" s="15" t="inlineStr">
        <is>
          <t>PKX</t>
        </is>
      </c>
      <c r="B50" s="19" t="n">
        <v>-20.94</v>
      </c>
      <c r="C50" s="23" t="n">
        <v>0</v>
      </c>
      <c r="D50" s="19" t="inlineStr">
        <is>
          <t>-</t>
        </is>
      </c>
      <c r="E50" s="19" t="inlineStr">
        <is>
          <t>45,959,440%</t>
        </is>
      </c>
      <c r="F50" s="20" t="n">
        <v>-0.0537</v>
      </c>
      <c r="G50" s="19" t="inlineStr">
        <is>
          <t>-</t>
        </is>
      </c>
      <c r="H50" s="2" t="inlineStr">
        <is>
          <t>RARO ESTE</t>
        </is>
      </c>
      <c r="I50" s="2">
        <f>A50</f>
        <v/>
      </c>
      <c r="Q50" s="2">
        <f>A50</f>
        <v/>
      </c>
      <c r="R50" s="2">
        <f>ABS(B50-J50)</f>
        <v/>
      </c>
      <c r="S50" s="2">
        <f>ABS(C50-K50)</f>
        <v/>
      </c>
      <c r="T50" s="2">
        <f>ABS(D50-L50)</f>
        <v/>
      </c>
      <c r="U50" s="2">
        <f>ABS(E50-M50)</f>
        <v/>
      </c>
      <c r="V50" s="2">
        <f>ABS(F50-N50)</f>
        <v/>
      </c>
      <c r="W50" s="2">
        <f>ABS(G50-O50)</f>
        <v/>
      </c>
    </row>
    <row r="51">
      <c r="A51" s="15" t="inlineStr">
        <is>
          <t>MMM</t>
        </is>
      </c>
      <c r="B51" s="19" t="n">
        <v>32.32</v>
      </c>
      <c r="C51" s="19" t="n">
        <v>32.32</v>
      </c>
      <c r="D51" s="20" t="n">
        <v>-0.0851</v>
      </c>
      <c r="E51" s="20" t="n">
        <v>0.1114</v>
      </c>
      <c r="F51" s="20" t="n">
        <v>0.7146</v>
      </c>
      <c r="G51" s="20" t="n">
        <v>0.5662</v>
      </c>
      <c r="I51" s="2">
        <f>A51</f>
        <v/>
      </c>
      <c r="Q51" s="2">
        <f>A51</f>
        <v/>
      </c>
      <c r="R51" s="2">
        <f>ABS(B51-J51)</f>
        <v/>
      </c>
      <c r="S51" s="2">
        <f>ABS(C51-K51)</f>
        <v/>
      </c>
      <c r="T51" s="2">
        <f>ABS(D51-L51)</f>
        <v/>
      </c>
      <c r="U51" s="2">
        <f>ABS(E51-M51)</f>
        <v/>
      </c>
      <c r="V51" s="2">
        <f>ABS(F51-N51)</f>
        <v/>
      </c>
      <c r="W51" s="2">
        <f>ABS(G51-O51)</f>
        <v/>
      </c>
    </row>
    <row r="52">
      <c r="A52" s="15" t="inlineStr">
        <is>
          <t>UN</t>
        </is>
      </c>
      <c r="B52" s="2" t="inlineStr">
        <is>
          <t>Joaquin</t>
        </is>
      </c>
      <c r="I52" s="2">
        <f>A52</f>
        <v/>
      </c>
      <c r="Q52" s="2">
        <f>A52</f>
        <v/>
      </c>
      <c r="R52" s="2">
        <f>ABS(B52-J52)</f>
        <v/>
      </c>
      <c r="S52" s="2">
        <f>ABS(C52-K52)</f>
        <v/>
      </c>
      <c r="T52" s="2">
        <f>ABS(D52-L52)</f>
        <v/>
      </c>
      <c r="U52" s="2">
        <f>ABS(E52-M52)</f>
        <v/>
      </c>
      <c r="V52" s="2">
        <f>ABS(F52-N52)</f>
        <v/>
      </c>
      <c r="W52" s="2">
        <f>ABS(G52-O52)</f>
        <v/>
      </c>
    </row>
    <row r="53">
      <c r="A53" s="15" t="inlineStr">
        <is>
          <t>KOF</t>
        </is>
      </c>
      <c r="B53" s="19" t="n">
        <v>16.73</v>
      </c>
      <c r="C53" s="19" t="n">
        <v>113.51</v>
      </c>
      <c r="D53" s="20" t="n">
        <v>0.1826</v>
      </c>
      <c r="E53" s="20" t="n">
        <v>0.0788</v>
      </c>
      <c r="F53" s="20" t="n">
        <v>0.1582</v>
      </c>
      <c r="G53" s="20" t="n">
        <v>0.6654</v>
      </c>
      <c r="I53" s="2">
        <f>A53</f>
        <v/>
      </c>
      <c r="Q53" s="2">
        <f>A53</f>
        <v/>
      </c>
      <c r="R53" s="2">
        <f>ABS(B53-J53)</f>
        <v/>
      </c>
      <c r="S53" s="2">
        <f>ABS(C53-K53)</f>
        <v/>
      </c>
      <c r="T53" s="2">
        <f>ABS(D53-L53)</f>
        <v/>
      </c>
      <c r="U53" s="2">
        <f>ABS(E53-M53)</f>
        <v/>
      </c>
      <c r="V53" s="2">
        <f>ABS(F53-N53)</f>
        <v/>
      </c>
      <c r="W53" s="2">
        <f>ABS(G53-O53)</f>
        <v/>
      </c>
    </row>
    <row r="54">
      <c r="A54" s="15" t="inlineStr">
        <is>
          <t>AMGN</t>
        </is>
      </c>
      <c r="B54" s="19" t="n">
        <v>24.5</v>
      </c>
      <c r="C54" s="19" t="n">
        <v>14.23</v>
      </c>
      <c r="D54" s="19" t="n">
        <v>14.23</v>
      </c>
      <c r="E54" s="20" t="n">
        <v>0.2096</v>
      </c>
      <c r="F54" s="20" t="n">
        <v>1.0132</v>
      </c>
      <c r="G54" s="20" t="n">
        <v>0.6671</v>
      </c>
      <c r="I54" s="2">
        <f>A54</f>
        <v/>
      </c>
      <c r="Q54" s="2">
        <f>A54</f>
        <v/>
      </c>
      <c r="R54" s="2">
        <f>ABS(B54-J54)</f>
        <v/>
      </c>
      <c r="S54" s="2">
        <f>ABS(C54-K54)</f>
        <v/>
      </c>
      <c r="T54" s="2">
        <f>ABS(D54-L54)</f>
        <v/>
      </c>
      <c r="U54" s="2">
        <f>ABS(E54-M54)</f>
        <v/>
      </c>
      <c r="V54" s="2">
        <f>ABS(F54-N54)</f>
        <v/>
      </c>
      <c r="W54" s="2">
        <f>ABS(G54-O54)</f>
        <v/>
      </c>
    </row>
    <row r="55">
      <c r="A55" s="15" t="inlineStr">
        <is>
          <t>BG</t>
        </is>
      </c>
      <c r="B55" s="19" t="n">
        <v>28.42</v>
      </c>
      <c r="C55" s="19" t="n">
        <v>4.93</v>
      </c>
      <c r="D55" s="20" t="n">
        <v>-0.0857</v>
      </c>
      <c r="E55" s="20" t="n">
        <v>0.008500000000000001</v>
      </c>
      <c r="F55" s="20" t="n">
        <v>0.0493</v>
      </c>
      <c r="G55" s="20" t="n">
        <v>0.7379</v>
      </c>
      <c r="I55" s="2">
        <f>A55</f>
        <v/>
      </c>
      <c r="Q55" s="2">
        <f>A55</f>
        <v/>
      </c>
      <c r="R55" s="2">
        <f>ABS(B55-J55)</f>
        <v/>
      </c>
      <c r="S55" s="2">
        <f>ABS(C55-K55)</f>
        <v/>
      </c>
      <c r="T55" s="2">
        <f>ABS(D55-L55)</f>
        <v/>
      </c>
      <c r="U55" s="2">
        <f>ABS(E55-M55)</f>
        <v/>
      </c>
      <c r="V55" s="2">
        <f>ABS(F55-N55)</f>
        <v/>
      </c>
      <c r="W55" s="2">
        <f>ABS(G55-O55)</f>
        <v/>
      </c>
    </row>
    <row r="56">
      <c r="A56" s="15" t="inlineStr">
        <is>
          <t>PSO</t>
        </is>
      </c>
      <c r="B56" s="19" t="n">
        <v>22.66</v>
      </c>
      <c r="C56" s="19" t="n">
        <v>0.51</v>
      </c>
      <c r="D56" s="20" t="n">
        <v>0.0302</v>
      </c>
      <c r="E56" s="20" t="n">
        <v>0.09370000000000001</v>
      </c>
      <c r="F56" s="20" t="n">
        <v>0.0871</v>
      </c>
      <c r="G56" s="20" t="n">
        <v>0.4776</v>
      </c>
      <c r="I56" s="2">
        <f>A56</f>
        <v/>
      </c>
      <c r="Q56" s="2">
        <f>A56</f>
        <v/>
      </c>
      <c r="R56" s="2">
        <f>ABS(B56-J56)</f>
        <v/>
      </c>
      <c r="S56" s="2">
        <f>ABS(C56-K56)</f>
        <v/>
      </c>
      <c r="T56" s="2">
        <f>ABS(D56-L56)</f>
        <v/>
      </c>
      <c r="U56" s="2">
        <f>ABS(E56-M56)</f>
        <v/>
      </c>
      <c r="V56" s="2">
        <f>ABS(F56-N56)</f>
        <v/>
      </c>
      <c r="W56" s="2">
        <f>ABS(G56-O56)</f>
        <v/>
      </c>
    </row>
    <row r="57">
      <c r="A57" s="15" t="inlineStr">
        <is>
          <t>HON</t>
        </is>
      </c>
      <c r="B57" s="19" t="n">
        <v>36.62</v>
      </c>
      <c r="C57" s="19" t="n">
        <v>6.89</v>
      </c>
      <c r="D57" s="20" t="n">
        <v>0.0049</v>
      </c>
      <c r="E57" s="20" t="n">
        <v>0.1089</v>
      </c>
      <c r="F57" s="20" t="n">
        <v>0.2426</v>
      </c>
      <c r="G57" s="12" t="n">
        <v>0.7376</v>
      </c>
      <c r="I57" s="2">
        <f>A57</f>
        <v/>
      </c>
      <c r="Q57" s="2">
        <f>A57</f>
        <v/>
      </c>
      <c r="R57" s="2">
        <f>ABS(B57-J57)</f>
        <v/>
      </c>
      <c r="S57" s="2">
        <f>ABS(C57-K57)</f>
        <v/>
      </c>
      <c r="T57" s="2">
        <f>ABS(D57-L57)</f>
        <v/>
      </c>
      <c r="U57" s="2">
        <f>ABS(E57-M57)</f>
        <v/>
      </c>
      <c r="V57" s="2">
        <f>ABS(F57-N57)</f>
        <v/>
      </c>
      <c r="W57" s="2">
        <f>ABS(G57-O57)</f>
        <v/>
      </c>
    </row>
    <row r="58">
      <c r="A58" s="15" t="inlineStr">
        <is>
          <t>ITUB</t>
        </is>
      </c>
      <c r="B58" s="19" t="n">
        <v>9.960000000000001</v>
      </c>
      <c r="C58" s="24" t="inlineStr">
        <is>
          <t>4,01</t>
        </is>
      </c>
      <c r="D58" s="20" t="n">
        <v>0.187</v>
      </c>
      <c r="E58" s="20" t="n">
        <v>0.3328</v>
      </c>
      <c r="F58" s="20" t="n">
        <v>0.2182</v>
      </c>
      <c r="G58" s="20" t="n">
        <v>0.6917</v>
      </c>
      <c r="I58" s="2">
        <f>A58</f>
        <v/>
      </c>
      <c r="Q58" s="2">
        <f>A58</f>
        <v/>
      </c>
      <c r="R58" s="2">
        <f>ABS(B58-J58)</f>
        <v/>
      </c>
      <c r="S58" s="2">
        <f>ABS(C58-K58)</f>
        <v/>
      </c>
      <c r="T58" s="2">
        <f>ABS(D58-L58)</f>
        <v/>
      </c>
      <c r="U58" s="2">
        <f>ABS(E58-M58)</f>
        <v/>
      </c>
      <c r="V58" s="2">
        <f>ABS(F58-N58)</f>
        <v/>
      </c>
      <c r="W58" s="2">
        <f>ABS(G58-O58)</f>
        <v/>
      </c>
    </row>
    <row r="59">
      <c r="A59" s="15" t="inlineStr">
        <is>
          <t>BSBR</t>
        </is>
      </c>
      <c r="B59" s="19" t="n">
        <v>7.72</v>
      </c>
      <c r="C59" s="19" t="n">
        <v>3.42</v>
      </c>
      <c r="D59" s="20" t="n">
        <v>-0.0102</v>
      </c>
      <c r="E59" s="20" t="n">
        <v>0.2816</v>
      </c>
      <c r="F59" s="20" t="n">
        <v>0.1047</v>
      </c>
      <c r="G59" s="20" t="n">
        <v>0.5601</v>
      </c>
      <c r="I59" s="2">
        <f>A59</f>
        <v/>
      </c>
      <c r="Q59" s="2">
        <f>A59</f>
        <v/>
      </c>
      <c r="R59" s="2">
        <f>ABS(B59-J59)</f>
        <v/>
      </c>
      <c r="S59" s="2">
        <f>ABS(C59-K59)</f>
        <v/>
      </c>
      <c r="T59" s="2">
        <f>ABS(D59-L59)</f>
        <v/>
      </c>
      <c r="U59" s="2">
        <f>ABS(E59-M59)</f>
        <v/>
      </c>
      <c r="V59" s="2">
        <f>ABS(F59-N59)</f>
        <v/>
      </c>
      <c r="W59" s="2">
        <f>ABS(G59-O59)</f>
        <v/>
      </c>
    </row>
    <row r="60">
      <c r="A60" s="15" t="inlineStr">
        <is>
          <t>T</t>
        </is>
      </c>
      <c r="B60" s="19" t="n">
        <v>7.49</v>
      </c>
      <c r="C60" s="25" t="inlineStr">
        <is>
          <t>3,05</t>
        </is>
      </c>
      <c r="D60" s="20" t="n">
        <v>0.4805</v>
      </c>
      <c r="E60" s="20" t="n">
        <v>0.1694</v>
      </c>
      <c r="F60" s="20" t="n">
        <v>0.1837</v>
      </c>
      <c r="G60" s="20" t="n">
        <v>0.3773</v>
      </c>
      <c r="I60" s="2">
        <f>A60</f>
        <v/>
      </c>
      <c r="Q60" s="2">
        <f>A60</f>
        <v/>
      </c>
      <c r="R60" s="2">
        <f>ABS(B60-J60)</f>
        <v/>
      </c>
      <c r="S60" s="2">
        <f>ABS(C60-K60)</f>
        <v/>
      </c>
      <c r="T60" s="2">
        <f>ABS(D60-L60)</f>
        <v/>
      </c>
      <c r="U60" s="2">
        <f>ABS(E60-M60)</f>
        <v/>
      </c>
      <c r="V60" s="2">
        <f>ABS(F60-N60)</f>
        <v/>
      </c>
      <c r="W60" s="2">
        <f>ABS(G60-O60)</f>
        <v/>
      </c>
    </row>
    <row r="61">
      <c r="A61" s="15" t="inlineStr">
        <is>
          <t>OGZPY</t>
        </is>
      </c>
      <c r="B61" s="2" t="inlineStr">
        <is>
          <t>Joaquin</t>
        </is>
      </c>
      <c r="I61" s="2">
        <f>A61</f>
        <v/>
      </c>
      <c r="Q61" s="2">
        <f>A61</f>
        <v/>
      </c>
      <c r="R61" s="2">
        <f>ABS(B61-J61)</f>
        <v/>
      </c>
      <c r="S61" s="2">
        <f>ABS(C61-K61)</f>
        <v/>
      </c>
      <c r="T61" s="2">
        <f>ABS(D61-L61)</f>
        <v/>
      </c>
      <c r="U61" s="2">
        <f>ABS(E61-M61)</f>
        <v/>
      </c>
      <c r="V61" s="2">
        <f>ABS(F61-N61)</f>
        <v/>
      </c>
      <c r="W61" s="2">
        <f>ABS(G61-O61)</f>
        <v/>
      </c>
    </row>
    <row r="62">
      <c r="A62" s="15" t="inlineStr">
        <is>
          <t>PEP</t>
        </is>
      </c>
      <c r="B62" s="19" t="n">
        <v>22.51</v>
      </c>
      <c r="C62" s="19" t="n">
        <v>6</v>
      </c>
      <c r="D62" s="20" t="n">
        <v>0.0322</v>
      </c>
      <c r="E62" s="20" t="n">
        <v>0.0915</v>
      </c>
      <c r="F62" s="20" t="n">
        <v>0.4388</v>
      </c>
      <c r="G62" s="20" t="n">
        <v>0.8842</v>
      </c>
      <c r="I62" s="2">
        <f>A62</f>
        <v/>
      </c>
      <c r="Q62" s="2">
        <f>A62</f>
        <v/>
      </c>
      <c r="R62" s="2">
        <f>ABS(B62-J62)</f>
        <v/>
      </c>
      <c r="S62" s="2">
        <f>ABS(C62-K62)</f>
        <v/>
      </c>
      <c r="T62" s="2">
        <f>ABS(D62-L62)</f>
        <v/>
      </c>
      <c r="U62" s="2">
        <f>ABS(E62-M62)</f>
        <v/>
      </c>
      <c r="V62" s="2">
        <f>ABS(F62-N62)</f>
        <v/>
      </c>
      <c r="W62" s="2">
        <f>ABS(G62-O62)</f>
        <v/>
      </c>
    </row>
    <row r="63">
      <c r="A63" s="15" t="inlineStr">
        <is>
          <t>XOM</t>
        </is>
      </c>
      <c r="B63" s="19" t="n">
        <v>22.97</v>
      </c>
      <c r="C63" s="19" t="n">
        <v>6.7</v>
      </c>
      <c r="D63" s="20" t="n">
        <v>0.0498</v>
      </c>
      <c r="E63" s="20" t="n">
        <v>0.0776</v>
      </c>
      <c r="F63" s="20" t="n">
        <v>0.0987</v>
      </c>
      <c r="G63" s="20" t="n">
        <v>0.6807</v>
      </c>
      <c r="I63" s="2">
        <f>A63</f>
        <v/>
      </c>
      <c r="Q63" s="2">
        <f>A63</f>
        <v/>
      </c>
      <c r="R63" s="2">
        <f>ABS(B63-J63)</f>
        <v/>
      </c>
      <c r="S63" s="2">
        <f>ABS(C63-K63)</f>
        <v/>
      </c>
      <c r="T63" s="2">
        <f>ABS(D63-L63)</f>
        <v/>
      </c>
      <c r="U63" s="2">
        <f>ABS(E63-M63)</f>
        <v/>
      </c>
      <c r="V63" s="2">
        <f>ABS(F63-N63)</f>
        <v/>
      </c>
      <c r="W63" s="2">
        <f>ABS(G63-O63)</f>
        <v/>
      </c>
    </row>
    <row r="64">
      <c r="A64" s="15" t="inlineStr">
        <is>
          <t>PFE</t>
        </is>
      </c>
      <c r="B64" s="19" t="n">
        <v>18.4</v>
      </c>
      <c r="C64" s="19" t="n">
        <v>1.36</v>
      </c>
      <c r="D64" s="20" t="n">
        <v>0.0288</v>
      </c>
      <c r="E64" s="20" t="n">
        <v>0.1183</v>
      </c>
      <c r="F64" s="20" t="n">
        <v>0.08309999999999999</v>
      </c>
      <c r="G64" s="20" t="n">
        <v>1.3054</v>
      </c>
      <c r="I64" s="2">
        <f>A64</f>
        <v/>
      </c>
      <c r="Q64" s="2">
        <f>A64</f>
        <v/>
      </c>
      <c r="R64" s="2">
        <f>ABS(B64-J64)</f>
        <v/>
      </c>
      <c r="S64" s="2">
        <f>ABS(C64-K64)</f>
        <v/>
      </c>
      <c r="T64" s="2">
        <f>ABS(D64-L64)</f>
        <v/>
      </c>
      <c r="U64" s="2">
        <f>ABS(E64-M64)</f>
        <v/>
      </c>
      <c r="V64" s="2">
        <f>ABS(F64-N64)</f>
        <v/>
      </c>
      <c r="W64" s="2">
        <f>ABS(G64-O64)</f>
        <v/>
      </c>
    </row>
    <row r="65">
      <c r="A65" s="15" t="inlineStr">
        <is>
          <t>AXP</t>
        </is>
      </c>
      <c r="B65" s="19" t="n">
        <v>21.37</v>
      </c>
      <c r="C65" s="19" t="n">
        <v>15.38</v>
      </c>
      <c r="D65" s="20" t="n">
        <v>0.3247</v>
      </c>
      <c r="E65" s="20" t="n">
        <v>0.1631</v>
      </c>
      <c r="F65" s="20" t="n">
        <v>0.3442</v>
      </c>
      <c r="G65" s="20" t="n">
        <v>0.209</v>
      </c>
      <c r="I65" s="2">
        <f>A65</f>
        <v/>
      </c>
      <c r="Q65" s="2">
        <f>A65</f>
        <v/>
      </c>
      <c r="R65" s="2">
        <f>ABS(B65-J65)</f>
        <v/>
      </c>
      <c r="S65" s="2">
        <f>ABS(C65-K65)</f>
        <v/>
      </c>
      <c r="T65" s="2">
        <f>ABS(D65-L65)</f>
        <v/>
      </c>
      <c r="U65" s="2">
        <f>ABS(E65-M65)</f>
        <v/>
      </c>
      <c r="V65" s="2">
        <f>ABS(F65-N65)</f>
        <v/>
      </c>
      <c r="W65" s="2">
        <f>ABS(G65-O65)</f>
        <v/>
      </c>
    </row>
    <row r="66">
      <c r="A66" s="15" t="inlineStr">
        <is>
          <t>MMC</t>
        </is>
      </c>
      <c r="I66" s="2">
        <f>A66</f>
        <v/>
      </c>
      <c r="Q66" s="2">
        <f>A66</f>
        <v/>
      </c>
      <c r="R66" s="2">
        <f>ABS(B67-J66)</f>
        <v/>
      </c>
      <c r="S66" s="2">
        <f>ABS(C66-K66)</f>
        <v/>
      </c>
      <c r="T66" s="2">
        <f>ABS(D66-L66)</f>
        <v/>
      </c>
      <c r="U66" s="2">
        <f>ABS(E66-M66)</f>
        <v/>
      </c>
      <c r="V66" s="2">
        <f>ABS(F66-N66)</f>
        <v/>
      </c>
      <c r="W66" s="2">
        <f>ABS(G66-O66)</f>
        <v/>
      </c>
    </row>
    <row r="67">
      <c r="A67" s="15" t="inlineStr">
        <is>
          <t>PCAR</t>
        </is>
      </c>
      <c r="B67" s="19" t="n">
        <v>24.99</v>
      </c>
      <c r="C67" s="19" t="n">
        <v>4.51</v>
      </c>
      <c r="D67" s="20" t="n">
        <v>0.1252</v>
      </c>
      <c r="E67" s="20" t="n">
        <v>0.0891</v>
      </c>
      <c r="F67" s="20" t="n">
        <v>0.1311</v>
      </c>
      <c r="G67" s="20" t="n">
        <v>0.5773</v>
      </c>
      <c r="I67" s="2">
        <f>A67</f>
        <v/>
      </c>
      <c r="Q67" s="2">
        <f>A67</f>
        <v/>
      </c>
      <c r="R67" s="2">
        <f>ABS(#REF!-J67)</f>
        <v/>
      </c>
      <c r="S67" s="2">
        <f>ABS(C67-K67)</f>
        <v/>
      </c>
      <c r="T67" s="2">
        <f>ABS(D67-L67)</f>
        <v/>
      </c>
      <c r="U67" s="2">
        <f>ABS(E67-M67)</f>
        <v/>
      </c>
      <c r="V67" s="2">
        <f>ABS(F67-N67)</f>
        <v/>
      </c>
      <c r="W67" s="2">
        <f>ABS(G67-O67)</f>
        <v/>
      </c>
    </row>
    <row r="68">
      <c r="A68" s="15" t="inlineStr">
        <is>
          <t>ORAN</t>
        </is>
      </c>
      <c r="B68" s="2" t="inlineStr">
        <is>
          <t>Joaquin</t>
        </is>
      </c>
      <c r="I68" s="2">
        <f>A68</f>
        <v/>
      </c>
      <c r="Q68" s="2">
        <f>A68</f>
        <v/>
      </c>
      <c r="R68" s="2">
        <f>ABS(B68-J68)</f>
        <v/>
      </c>
      <c r="S68" s="2">
        <f>ABS(C68-K68)</f>
        <v/>
      </c>
      <c r="T68" s="2">
        <f>ABS(D68-L68)</f>
        <v/>
      </c>
      <c r="U68" s="2">
        <f>ABS(E68-M68)</f>
        <v/>
      </c>
      <c r="V68" s="2">
        <f>ABS(F68-N68)</f>
        <v/>
      </c>
      <c r="W68" s="2">
        <f>ABS(G68-O68)</f>
        <v/>
      </c>
    </row>
    <row r="69">
      <c r="A69" s="15" t="n"/>
      <c r="B69" s="13" t="inlineStr">
        <is>
          <t>P/E RatioTTM</t>
        </is>
      </c>
      <c r="C69" s="14" t="inlineStr">
        <is>
          <t>Diluted EPSANN</t>
        </is>
      </c>
      <c r="D69" s="14" t="inlineStr">
        <is>
          <t>5 Year EPS Growth5YA</t>
        </is>
      </c>
      <c r="E69" s="14" t="inlineStr">
        <is>
          <t>Net Profit marginTTM</t>
        </is>
      </c>
      <c r="F69" s="13" t="inlineStr">
        <is>
          <t>Return on EquityTTM</t>
        </is>
      </c>
      <c r="G69" s="14" t="inlineStr">
        <is>
          <t>Payout RatioTTM</t>
        </is>
      </c>
      <c r="I69" s="2">
        <f>A69</f>
        <v/>
      </c>
      <c r="R69" s="2" t="n"/>
    </row>
    <row r="70">
      <c r="A70" s="15" t="inlineStr">
        <is>
          <t>AEG</t>
        </is>
      </c>
      <c r="B70" s="2" t="n">
        <v>12.56</v>
      </c>
      <c r="C70" s="2" t="n">
        <v>0.59</v>
      </c>
      <c r="D70" s="12" t="n">
        <v>0.1269</v>
      </c>
      <c r="E70" s="12" t="n">
        <v>0.0801</v>
      </c>
      <c r="F70" s="12" t="n">
        <v>0.1042</v>
      </c>
      <c r="G70" s="12" t="n">
        <v>0.6786</v>
      </c>
      <c r="I70" s="2">
        <f>A70</f>
        <v/>
      </c>
      <c r="Q70" s="2">
        <f>A70</f>
        <v/>
      </c>
      <c r="R70" s="2">
        <f>ABS(B70-J70)</f>
        <v/>
      </c>
      <c r="S70" s="2">
        <f>ABS(C70-K70)</f>
        <v/>
      </c>
      <c r="T70" s="2">
        <f>ABS(D70-L70)</f>
        <v/>
      </c>
      <c r="U70" s="2">
        <f>ABS(E70-M70)</f>
        <v/>
      </c>
      <c r="V70" s="2">
        <f>ABS(F70-N70)</f>
        <v/>
      </c>
      <c r="W70" s="2">
        <f>ABS(G70-O70)</f>
        <v/>
      </c>
    </row>
    <row r="71">
      <c r="A71" s="15" t="inlineStr">
        <is>
          <t>ORCL</t>
        </is>
      </c>
      <c r="B71" s="26" t="n">
        <v>26.26</v>
      </c>
      <c r="C71" s="26" t="n">
        <v>5.83</v>
      </c>
      <c r="D71" s="12" t="n">
        <v>0.0508</v>
      </c>
      <c r="E71" s="12" t="n">
        <v>0.2537</v>
      </c>
      <c r="F71" s="12" t="n">
        <v>0.5338000000000001</v>
      </c>
      <c r="G71" s="12" t="n">
        <v>0.3387</v>
      </c>
      <c r="I71" s="2">
        <f>A71</f>
        <v/>
      </c>
      <c r="Q71" s="2">
        <f>A71</f>
        <v/>
      </c>
      <c r="R71" s="2">
        <f>ABS(B71-J71)</f>
        <v/>
      </c>
      <c r="S71" s="2">
        <f>ABS(C71-K71)</f>
        <v/>
      </c>
      <c r="T71" s="2">
        <f>ABS(D71-L71)</f>
        <v/>
      </c>
      <c r="U71" s="2">
        <f>ABS(E71-M71)</f>
        <v/>
      </c>
      <c r="V71" s="2">
        <f>ABS(F71-N71)</f>
        <v/>
      </c>
      <c r="W71" s="2">
        <f>ABS(G71-O71)</f>
        <v/>
      </c>
    </row>
    <row r="72">
      <c r="A72" s="15" t="inlineStr">
        <is>
          <t>GSK</t>
        </is>
      </c>
      <c r="B72" s="27" t="n">
        <v>13.78</v>
      </c>
      <c r="C72" s="2" t="n">
        <v>1.39</v>
      </c>
      <c r="D72" s="28" t="n">
        <v>0.028</v>
      </c>
      <c r="E72" s="28" t="n">
        <v>0.1778</v>
      </c>
      <c r="F72" s="12" t="n">
        <v>0.4091</v>
      </c>
      <c r="G72" s="12" t="n">
        <v>0.4452</v>
      </c>
      <c r="I72" s="2">
        <f>A72</f>
        <v/>
      </c>
      <c r="Q72" s="2">
        <f>A72</f>
        <v/>
      </c>
      <c r="R72" s="2">
        <f>ABS(B72-J72)</f>
        <v/>
      </c>
      <c r="S72" s="2">
        <f>ABS(C72-K72)</f>
        <v/>
      </c>
      <c r="T72" s="2">
        <f>ABS(D72-L72)</f>
        <v/>
      </c>
      <c r="U72" s="2">
        <f>ABS(E72-M72)</f>
        <v/>
      </c>
      <c r="V72" s="2">
        <f>ABS(F72-N72)</f>
        <v/>
      </c>
      <c r="W72" s="2">
        <f>ABS(G72-O72)</f>
        <v/>
      </c>
    </row>
    <row r="73">
      <c r="A73" s="15" t="inlineStr">
        <is>
          <t>CBD</t>
        </is>
      </c>
      <c r="D73" s="27" t="n"/>
      <c r="I73" s="2">
        <f>A73</f>
        <v/>
      </c>
      <c r="Q73" s="2">
        <f>A73</f>
        <v/>
      </c>
      <c r="R73" s="2">
        <f>ABS(B73-J73)</f>
        <v/>
      </c>
      <c r="S73" s="2">
        <f>ABS(C73-K73)</f>
        <v/>
      </c>
      <c r="T73" s="2">
        <f>ABS(D73-L73)</f>
        <v/>
      </c>
      <c r="U73" s="2">
        <f>ABS(E73-M73)</f>
        <v/>
      </c>
      <c r="V73" s="2">
        <f>ABS(F73-N73)</f>
        <v/>
      </c>
      <c r="W73" s="2">
        <f>ABS(G73-O73)</f>
        <v/>
      </c>
    </row>
    <row r="74">
      <c r="A74" s="15" t="inlineStr">
        <is>
          <t>IBM</t>
        </is>
      </c>
      <c r="B74" s="26" t="n">
        <v>23.22</v>
      </c>
      <c r="C74" s="26" t="n">
        <v>11.14</v>
      </c>
      <c r="D74" s="12" t="n">
        <v>0.2051</v>
      </c>
      <c r="E74" s="28" t="n">
        <v>0.1561</v>
      </c>
      <c r="F74" s="28" t="n">
        <v>0.3577</v>
      </c>
      <c r="G74" s="20" t="n">
        <v>0.5842000000000001</v>
      </c>
      <c r="I74" s="2">
        <f>A74</f>
        <v/>
      </c>
      <c r="Q74" s="2">
        <f>A74</f>
        <v/>
      </c>
      <c r="R74" s="2">
        <f>ABS(B74-J74)</f>
        <v/>
      </c>
      <c r="S74" s="2">
        <f>ABS(C74-K74)</f>
        <v/>
      </c>
      <c r="T74" s="2">
        <f>ABS(D74-L74)</f>
        <v/>
      </c>
      <c r="U74" s="2">
        <f>ABS(E74-M74)</f>
        <v/>
      </c>
      <c r="V74" s="2">
        <f>ABS(F74-N74)</f>
        <v/>
      </c>
      <c r="W74" s="2">
        <f>ABS(G74-O74)</f>
        <v/>
      </c>
    </row>
    <row r="75">
      <c r="A75" s="15" t="inlineStr">
        <is>
          <t>YY</t>
        </is>
      </c>
      <c r="B75" s="27" t="n"/>
      <c r="E75" s="27" t="n"/>
      <c r="I75" s="2">
        <f>A75</f>
        <v/>
      </c>
      <c r="Q75" s="2">
        <f>A75</f>
        <v/>
      </c>
      <c r="R75" s="2">
        <f>ABS(B75-J75)</f>
        <v/>
      </c>
      <c r="S75" s="2">
        <f>ABS(C75-K75)</f>
        <v/>
      </c>
      <c r="T75" s="2">
        <f>ABS(D75-L75)</f>
        <v/>
      </c>
      <c r="U75" s="2">
        <f>ABS(E75-M75)</f>
        <v/>
      </c>
      <c r="V75" s="2">
        <f>ABS(F75-N75)</f>
        <v/>
      </c>
      <c r="W75" s="2">
        <f>ABS(G75-O75)</f>
        <v/>
      </c>
    </row>
    <row r="76">
      <c r="A76" s="15" t="inlineStr">
        <is>
          <t>WB</t>
        </is>
      </c>
      <c r="B76" s="2" t="n">
        <v>5.5</v>
      </c>
      <c r="C76" s="2" t="n">
        <v>1.7</v>
      </c>
      <c r="D76" s="12" t="n">
        <v>0.0427</v>
      </c>
      <c r="E76" s="12" t="n">
        <v>0.2115</v>
      </c>
      <c r="F76" s="12" t="n">
        <v>0.1044</v>
      </c>
      <c r="G76" s="28" t="n">
        <v>0.4357</v>
      </c>
      <c r="H76" s="23" t="n"/>
      <c r="I76" s="2">
        <f>A76</f>
        <v/>
      </c>
      <c r="Q76" s="2">
        <f>A76</f>
        <v/>
      </c>
      <c r="R76" s="2">
        <f>ABS(B76-J76)</f>
        <v/>
      </c>
      <c r="S76" s="2">
        <f>ABS(C76-K76)</f>
        <v/>
      </c>
      <c r="T76" s="2">
        <f>ABS(D76-L76)</f>
        <v/>
      </c>
      <c r="U76" s="2">
        <f>ABS(E76-M76)</f>
        <v/>
      </c>
      <c r="V76" s="2">
        <f>ABS(F76-N76)</f>
        <v/>
      </c>
      <c r="W76" s="2">
        <f>ABS(G76-O76)</f>
        <v/>
      </c>
    </row>
    <row r="77">
      <c r="A77" s="15" t="inlineStr">
        <is>
          <t>SID</t>
        </is>
      </c>
      <c r="B77" s="2" t="n">
        <v>-3.35</v>
      </c>
      <c r="C77" s="23" t="n">
        <v>-1.51</v>
      </c>
      <c r="D77" s="20" t="n">
        <v>-0.1129</v>
      </c>
      <c r="E77" s="28" t="n">
        <v>-0.0449</v>
      </c>
      <c r="F77" s="29" t="n">
        <v>-0.0827</v>
      </c>
      <c r="G77" s="28" t="n">
        <v>-0.3478</v>
      </c>
      <c r="H77" s="23" t="n"/>
      <c r="I77" s="2">
        <f>A77</f>
        <v/>
      </c>
      <c r="Q77" s="2">
        <f>A77</f>
        <v/>
      </c>
      <c r="R77" s="2">
        <f>ABS(B77-J77)</f>
        <v/>
      </c>
      <c r="S77" s="2">
        <f>ABS(C77-K77)</f>
        <v/>
      </c>
      <c r="T77" s="2">
        <f>ABS(D77-L77)</f>
        <v/>
      </c>
      <c r="U77" s="2">
        <f>ABS(E77-M77)</f>
        <v/>
      </c>
      <c r="V77" s="2">
        <f>ABS(F77-N77)</f>
        <v/>
      </c>
      <c r="W77" s="2">
        <f>ABS(G77-O77)</f>
        <v/>
      </c>
    </row>
    <row r="78">
      <c r="A78" s="15" t="inlineStr">
        <is>
          <t>CAT</t>
        </is>
      </c>
      <c r="B78" s="26" t="n">
        <v>49.17</v>
      </c>
      <c r="C78" s="23" t="n">
        <v>18.81</v>
      </c>
      <c r="D78" s="28" t="n">
        <v>0.2807</v>
      </c>
      <c r="E78" s="28" t="n">
        <v>0.1333</v>
      </c>
      <c r="F78" s="28" t="n">
        <v>0.5133</v>
      </c>
      <c r="G78" s="30" t="n">
        <v>0.2946</v>
      </c>
      <c r="I78" s="2">
        <f>A78</f>
        <v/>
      </c>
      <c r="Q78" s="2">
        <f>A78</f>
        <v/>
      </c>
      <c r="R78" s="2">
        <f>ABS(B78-J78)</f>
        <v/>
      </c>
      <c r="S78" s="2">
        <f>ABS(C78-K78)</f>
        <v/>
      </c>
      <c r="T78" s="2">
        <f>ABS(D78-L78)</f>
        <v/>
      </c>
      <c r="U78" s="2">
        <f>ABS(E78-M78)</f>
        <v/>
      </c>
      <c r="V78" s="2">
        <f>ABS(F78-N78)</f>
        <v/>
      </c>
      <c r="W78" s="2">
        <f>ABS(G78-O78)</f>
        <v/>
      </c>
    </row>
    <row r="79">
      <c r="A79" s="15" t="inlineStr">
        <is>
          <t>KO</t>
        </is>
      </c>
      <c r="B79" s="27" t="n">
        <v>25.44</v>
      </c>
      <c r="C79" s="31" t="inlineStr">
        <is>
          <t>3,04</t>
        </is>
      </c>
      <c r="D79" s="28" t="n">
        <v>0.1117</v>
      </c>
      <c r="E79" s="28" t="n">
        <v>0.278</v>
      </c>
      <c r="F79" s="29" t="n">
        <v>0.4337</v>
      </c>
      <c r="G79" s="28" t="n">
        <v>0.8007</v>
      </c>
      <c r="H79" s="23" t="n"/>
      <c r="I79" s="2">
        <f>A79</f>
        <v/>
      </c>
      <c r="Q79" s="2">
        <f>A79</f>
        <v/>
      </c>
      <c r="R79" s="2">
        <f>ABS(B79-J79)</f>
        <v/>
      </c>
      <c r="S79" s="2">
        <f>ABS(C79-K79)</f>
        <v/>
      </c>
      <c r="T79" s="2">
        <f>ABS(D79-L79)</f>
        <v/>
      </c>
      <c r="U79" s="2">
        <f>ABS(E79-M79)</f>
        <v/>
      </c>
      <c r="V79" s="2">
        <f>ABS(F79-N79)</f>
        <v/>
      </c>
      <c r="W79" s="2">
        <f>ABS(G79-O79)</f>
        <v/>
      </c>
    </row>
    <row r="80">
      <c r="A80" s="15" t="inlineStr">
        <is>
          <t>XRX</t>
        </is>
      </c>
      <c r="B80" s="2" t="n">
        <v>-0.38</v>
      </c>
      <c r="C80" s="23" t="n">
        <v>-8.25</v>
      </c>
      <c r="D80" s="20" t="n">
        <v>0.5792</v>
      </c>
      <c r="E80" s="28" t="n">
        <v>-0.1409</v>
      </c>
      <c r="F80" s="29" t="n">
        <v>-1.1536</v>
      </c>
      <c r="G80" s="28" t="n">
        <v>-0.0402</v>
      </c>
      <c r="H80" s="23" t="n"/>
      <c r="I80" s="2">
        <f>A80</f>
        <v/>
      </c>
      <c r="Q80" s="2">
        <f>A80</f>
        <v/>
      </c>
      <c r="R80" s="2">
        <f>ABS(B80-J80)</f>
        <v/>
      </c>
      <c r="S80" s="2">
        <f>ABS(C80-K80)</f>
        <v/>
      </c>
      <c r="T80" s="2">
        <f>ABS(D80-L80)</f>
        <v/>
      </c>
      <c r="U80" s="2">
        <f>ABS(E80-M80)</f>
        <v/>
      </c>
      <c r="V80" s="2">
        <f>ABS(F80-N80)</f>
        <v/>
      </c>
      <c r="W80" s="2">
        <f>ABS(G80-O80)</f>
        <v/>
      </c>
    </row>
    <row r="81">
      <c r="A81" s="15" t="inlineStr">
        <is>
          <t>HMC</t>
        </is>
      </c>
      <c r="B81" s="19" t="n">
        <v>-13.16</v>
      </c>
      <c r="C81" s="23" t="n">
        <v>-106.06</v>
      </c>
      <c r="D81" s="28" t="n">
        <v>-0.0353</v>
      </c>
      <c r="E81" s="28" t="n">
        <v>-0.0194</v>
      </c>
      <c r="F81" s="29" t="n">
        <v>-0.0285</v>
      </c>
      <c r="G81" s="28" t="n">
        <v>0.5734</v>
      </c>
      <c r="H81" s="23" t="n"/>
      <c r="I81" s="2">
        <f>A81</f>
        <v/>
      </c>
      <c r="Q81" s="2">
        <f>A81</f>
        <v/>
      </c>
      <c r="R81" s="2">
        <f>ABS(B81-J81)</f>
        <v/>
      </c>
      <c r="S81" s="2">
        <f>ABS(C81-K81)</f>
        <v/>
      </c>
      <c r="T81" s="2">
        <f>ABS(D81-L81)</f>
        <v/>
      </c>
      <c r="U81" s="2">
        <f>ABS(E81-M81)</f>
        <v/>
      </c>
      <c r="V81" s="2">
        <f>ABS(F81-N81)</f>
        <v/>
      </c>
      <c r="W81" s="2">
        <f>ABS(G81-O81)</f>
        <v/>
      </c>
    </row>
    <row r="82">
      <c r="A82" s="15" t="inlineStr">
        <is>
          <t>SIEGY</t>
        </is>
      </c>
      <c r="B82" s="26" t="n">
        <v>27.9</v>
      </c>
      <c r="C82" s="23" t="n">
        <v>9.52</v>
      </c>
      <c r="D82" s="28" t="n">
        <v>0.1432</v>
      </c>
      <c r="E82" s="20" t="n">
        <v>0.0969</v>
      </c>
      <c r="F82" s="20" t="n">
        <v>0.1259</v>
      </c>
      <c r="G82" s="28" t="n">
        <v>0.5394</v>
      </c>
      <c r="H82" s="23" t="n"/>
      <c r="I82" s="2">
        <f>A82</f>
        <v/>
      </c>
      <c r="Q82" s="2">
        <f>A82</f>
        <v/>
      </c>
      <c r="R82" s="2">
        <f>ABS(B82-J82)</f>
        <v/>
      </c>
      <c r="S82" s="2">
        <f>ABS(C82-K82)</f>
        <v/>
      </c>
      <c r="T82" s="2">
        <f>ABS(D82-L82)</f>
        <v/>
      </c>
      <c r="U82" s="2">
        <f>ABS(E82-M82)</f>
        <v/>
      </c>
      <c r="V82" s="2">
        <f>ABS(F82-N82)</f>
        <v/>
      </c>
      <c r="W82" s="2">
        <f>ABS(G82-O82)</f>
        <v/>
      </c>
    </row>
    <row r="83">
      <c r="A83" s="15" t="inlineStr">
        <is>
          <t>USB</t>
        </is>
      </c>
      <c r="B83" s="19" t="n">
        <v>12.58</v>
      </c>
      <c r="C83" s="19" t="n">
        <v>4.62</v>
      </c>
      <c r="D83" s="28" t="n">
        <v>0.0859</v>
      </c>
      <c r="E83" s="28" t="n">
        <v>0.2929</v>
      </c>
      <c r="F83" s="20" t="n">
        <v>0.1235</v>
      </c>
      <c r="G83" s="20" t="n">
        <v>0.4518</v>
      </c>
      <c r="I83" s="2">
        <f>A83</f>
        <v/>
      </c>
      <c r="Q83" s="2">
        <f>A83</f>
        <v/>
      </c>
      <c r="R83" s="2">
        <f>ABS(B83-J83)</f>
        <v/>
      </c>
      <c r="S83" s="2">
        <f>ABS(C83-K83)</f>
        <v/>
      </c>
      <c r="T83" s="2">
        <f>ABS(D83-L83)</f>
        <v/>
      </c>
      <c r="U83" s="2">
        <f>ABS(E83-M83)</f>
        <v/>
      </c>
      <c r="V83" s="2">
        <f>ABS(F83-N83)</f>
        <v/>
      </c>
      <c r="W83" s="2">
        <f>ABS(G83-O83)</f>
        <v/>
      </c>
    </row>
    <row r="84">
      <c r="A84" s="15" t="inlineStr">
        <is>
          <t>BK</t>
        </is>
      </c>
      <c r="D84" s="27" t="n"/>
      <c r="E84" s="27" t="n"/>
      <c r="I84" s="2">
        <f>A84</f>
        <v/>
      </c>
      <c r="Q84" s="2">
        <f>A84</f>
        <v/>
      </c>
      <c r="R84" s="2">
        <f>ABS(B84-J84)</f>
        <v/>
      </c>
      <c r="S84" s="2">
        <f>ABS(C84-K84)</f>
        <v/>
      </c>
      <c r="T84" s="2">
        <f>ABS(D84-L84)</f>
        <v/>
      </c>
      <c r="U84" s="2">
        <f>ABS(E84-M84)</f>
        <v/>
      </c>
      <c r="V84" s="2">
        <f>ABS(F84-N84)</f>
        <v/>
      </c>
      <c r="W84" s="2">
        <f>ABS(G84-O84)</f>
        <v/>
      </c>
    </row>
    <row r="85">
      <c r="A85" s="15" t="inlineStr">
        <is>
          <t>NGG</t>
        </is>
      </c>
      <c r="B85" s="2" t="n">
        <v>18.96</v>
      </c>
      <c r="C85" s="19" t="n">
        <v>0.65</v>
      </c>
      <c r="D85" s="12" t="n">
        <v>0.1212</v>
      </c>
      <c r="E85" s="20" t="n">
        <v>0.1832</v>
      </c>
      <c r="F85" s="20" t="n">
        <v>0.08409999999999999</v>
      </c>
      <c r="G85" s="20" t="n">
        <v>0.5008</v>
      </c>
      <c r="I85" s="2">
        <f>A85</f>
        <v/>
      </c>
      <c r="Q85" s="2">
        <f>A85</f>
        <v/>
      </c>
      <c r="R85" s="2">
        <f>ABS(B85-J85)</f>
        <v/>
      </c>
      <c r="S85" s="2">
        <f>ABS(C85-K85)</f>
        <v/>
      </c>
      <c r="T85" s="2">
        <f>ABS(D85-L85)</f>
        <v/>
      </c>
      <c r="U85" s="2">
        <f>ABS(E85-M85)</f>
        <v/>
      </c>
      <c r="V85" s="2">
        <f>ABS(F85-N85)</f>
        <v/>
      </c>
      <c r="W85" s="2">
        <f>ABS(G85-O85)</f>
        <v/>
      </c>
    </row>
    <row r="86">
      <c r="A86" s="15" t="inlineStr">
        <is>
          <t>DE</t>
        </is>
      </c>
      <c r="B86" s="26" t="n">
        <v>34.45</v>
      </c>
      <c r="C86" s="19" t="n">
        <v>18.5</v>
      </c>
      <c r="D86" s="20" t="n">
        <v>0.1631</v>
      </c>
      <c r="E86" s="20" t="n">
        <v>0.101</v>
      </c>
      <c r="F86" s="20" t="n">
        <v>0.1835</v>
      </c>
      <c r="G86" s="20" t="n">
        <v>0.3669</v>
      </c>
      <c r="I86" s="2">
        <f>A86</f>
        <v/>
      </c>
      <c r="Q86" s="2">
        <f>A86</f>
        <v/>
      </c>
      <c r="R86" s="2">
        <f>ABS(B86-J86)</f>
        <v/>
      </c>
      <c r="S86" s="2">
        <f>ABS(C86-K86)</f>
        <v/>
      </c>
      <c r="T86" s="2">
        <f>ABS(D86-L86)</f>
        <v/>
      </c>
      <c r="U86" s="2">
        <f>ABS(E86-M86)</f>
        <v/>
      </c>
      <c r="V86" s="2">
        <f>ABS(F86-N86)</f>
        <v/>
      </c>
      <c r="W86" s="2">
        <f>ABS(G86-O86)</f>
        <v/>
      </c>
    </row>
    <row r="87">
      <c r="A87" s="15" t="inlineStr">
        <is>
          <t>GE</t>
        </is>
      </c>
      <c r="B87" s="26" t="n">
        <v>45.34</v>
      </c>
      <c r="C87" s="31" t="inlineStr">
        <is>
          <t>8,05</t>
        </is>
      </c>
      <c r="D87" s="28" t="n">
        <v>0.0808</v>
      </c>
      <c r="E87" s="28" t="n">
        <v>0.1786</v>
      </c>
      <c r="F87" s="20" t="n">
        <v>0.4543</v>
      </c>
      <c r="G87" s="20" t="n">
        <v>0.1774</v>
      </c>
      <c r="I87" s="2">
        <f>A87</f>
        <v/>
      </c>
      <c r="Q87" s="2">
        <f>A87</f>
        <v/>
      </c>
      <c r="R87" s="2">
        <f>ABS(B87-J87)</f>
        <v/>
      </c>
      <c r="S87" s="2">
        <f>ABS(C87-K87)</f>
        <v/>
      </c>
      <c r="T87" s="2">
        <f>ABS(D87-L87)</f>
        <v/>
      </c>
      <c r="U87" s="2">
        <f>ABS(E87-M87)</f>
        <v/>
      </c>
      <c r="V87" s="2">
        <f>ABS(F87-N87)</f>
        <v/>
      </c>
      <c r="W87" s="2">
        <f>ABS(G87-O87)</f>
        <v/>
      </c>
    </row>
    <row r="88">
      <c r="A88" s="15" t="inlineStr">
        <is>
          <t>TM</t>
        </is>
      </c>
      <c r="B88" s="26" t="n">
        <v>9.289999999999999</v>
      </c>
      <c r="C88" s="23" t="n">
        <v>295.25</v>
      </c>
      <c r="D88" s="28" t="n">
        <v>0.1319</v>
      </c>
      <c r="E88" s="20" t="n">
        <v>0.0759</v>
      </c>
      <c r="F88" s="20" t="n">
        <v>0.1023</v>
      </c>
      <c r="G88" s="20" t="n">
        <v>0.322</v>
      </c>
      <c r="I88" s="2">
        <f>A88</f>
        <v/>
      </c>
      <c r="Q88" s="2">
        <f>A88</f>
        <v/>
      </c>
      <c r="R88" s="2">
        <f>ABS(B88-J88)</f>
        <v/>
      </c>
      <c r="S88" s="2">
        <f>ABS(C88-K88)</f>
        <v/>
      </c>
      <c r="T88" s="2">
        <f>ABS(D88-L88)</f>
        <v/>
      </c>
      <c r="U88" s="2">
        <f>ABS(E88-M88)</f>
        <v/>
      </c>
      <c r="V88" s="2">
        <f>ABS(F88-N88)</f>
        <v/>
      </c>
      <c r="W88" s="2">
        <f>ABS(G88-O88)</f>
        <v/>
      </c>
    </row>
    <row r="89">
      <c r="A89" s="15" t="inlineStr">
        <is>
          <t>HNP</t>
        </is>
      </c>
      <c r="I89" s="2">
        <f>A89</f>
        <v/>
      </c>
      <c r="Q89" s="2">
        <f>A89</f>
        <v/>
      </c>
      <c r="R89" s="2">
        <f>ABS(B90-J89)</f>
        <v/>
      </c>
      <c r="S89" s="2">
        <f>ABS(C90-K89)</f>
        <v/>
      </c>
      <c r="T89" s="2">
        <f>ABS(D90-L89)</f>
        <v/>
      </c>
      <c r="U89" s="2">
        <f>ABS(E90-M89)</f>
        <v/>
      </c>
      <c r="V89" s="2">
        <f>ABS(F90-N89)</f>
        <v/>
      </c>
      <c r="W89" s="2">
        <f>ABS(G90-O89)</f>
        <v/>
      </c>
    </row>
    <row r="90">
      <c r="A90" s="15" t="inlineStr">
        <is>
          <t>C</t>
        </is>
      </c>
      <c r="B90" s="26" t="n">
        <v>17.85</v>
      </c>
      <c r="C90" s="23" t="n">
        <v>6.99</v>
      </c>
      <c r="D90" s="20" t="n">
        <v>0.0813</v>
      </c>
      <c r="E90" s="20" t="n">
        <v>0.2036</v>
      </c>
      <c r="F90" s="20" t="n">
        <v>0.0765</v>
      </c>
      <c r="G90" s="20" t="n">
        <v>0.3371</v>
      </c>
      <c r="I90" s="2">
        <f>A90</f>
        <v/>
      </c>
      <c r="Q90" s="2">
        <f>A90</f>
        <v/>
      </c>
      <c r="R90" s="2">
        <f>ABS(#REF!-J90)</f>
        <v/>
      </c>
      <c r="S90" s="2">
        <f>ABS(#REF!-K90)</f>
        <v/>
      </c>
      <c r="T90" s="2">
        <f>ABS(#REF!-L90)</f>
        <v/>
      </c>
      <c r="U90" s="2">
        <f>ABS(#REF!-M90)</f>
        <v/>
      </c>
      <c r="V90" s="2">
        <f>ABS(#REF!-N90)</f>
        <v/>
      </c>
      <c r="W90" s="2">
        <f>ABS(#REF!-O90)</f>
        <v/>
      </c>
    </row>
    <row r="91">
      <c r="A91" s="15" t="inlineStr">
        <is>
          <t>JPM</t>
        </is>
      </c>
      <c r="B91" s="26" t="n">
        <v>15.93</v>
      </c>
      <c r="C91" s="31" t="inlineStr">
        <is>
          <t>20,02</t>
        </is>
      </c>
      <c r="D91" s="28" t="n">
        <v>0.1765</v>
      </c>
      <c r="E91" s="20" t="n">
        <v>0.3394</v>
      </c>
      <c r="F91" s="20" t="n">
        <v>0.1646</v>
      </c>
      <c r="G91" s="28" t="n">
        <v>0.2916</v>
      </c>
      <c r="H91" s="23" t="n"/>
      <c r="I91" s="2">
        <f>A91</f>
        <v/>
      </c>
      <c r="Q91" s="2">
        <f>A91</f>
        <v/>
      </c>
      <c r="R91" s="2">
        <f>ABS(B91-J91)</f>
        <v/>
      </c>
      <c r="S91" s="2">
        <f>ABS(C91-K91)</f>
        <v/>
      </c>
      <c r="T91" s="2">
        <f>ABS(D91-L91)</f>
        <v/>
      </c>
      <c r="U91" s="2">
        <f>ABS(E91-M91)</f>
        <v/>
      </c>
      <c r="V91" s="2">
        <f>ABS(F91-N91)</f>
        <v/>
      </c>
      <c r="W91" s="2">
        <f>ABS(G91-O91)</f>
        <v/>
      </c>
    </row>
    <row r="92">
      <c r="A92" s="15" t="inlineStr">
        <is>
          <t>BAC</t>
        </is>
      </c>
      <c r="B92" s="26" t="n">
        <v>14.3</v>
      </c>
      <c r="C92" s="19" t="n">
        <v>3.81</v>
      </c>
      <c r="D92" s="20" t="n">
        <v>0.153</v>
      </c>
      <c r="E92" s="20" t="n">
        <v>0.2896</v>
      </c>
      <c r="F92" s="20" t="n">
        <v>0.1064</v>
      </c>
      <c r="G92" s="20" t="n">
        <v>0.3037</v>
      </c>
      <c r="I92" s="2">
        <f>A92</f>
        <v/>
      </c>
      <c r="Q92" s="2">
        <f>A92</f>
        <v/>
      </c>
      <c r="R92" s="2">
        <f>ABS(B92-J92)</f>
        <v/>
      </c>
      <c r="S92" s="2">
        <f>ABS(C92-K92)</f>
        <v/>
      </c>
      <c r="T92" s="2">
        <f>ABS(D92-L92)</f>
        <v/>
      </c>
      <c r="U92" s="2">
        <f>ABS(E92-M92)</f>
        <v/>
      </c>
      <c r="V92" s="2">
        <f>ABS(F92-N92)</f>
        <v/>
      </c>
      <c r="W92" s="2">
        <f>ABS(G92-O92)</f>
        <v/>
      </c>
    </row>
    <row r="93">
      <c r="A93" s="15" t="inlineStr">
        <is>
          <t>MRK</t>
        </is>
      </c>
      <c r="B93" s="19" t="n">
        <v>33.73</v>
      </c>
      <c r="C93" s="19" t="n">
        <v>7.28</v>
      </c>
      <c r="D93" s="20" t="n">
        <v>0.3254</v>
      </c>
      <c r="E93" s="20" t="n">
        <v>0.1359</v>
      </c>
      <c r="F93" s="20" t="n">
        <v>0.1894</v>
      </c>
      <c r="G93" s="20" t="n">
        <v>0.9212</v>
      </c>
      <c r="I93" s="2">
        <f>A93</f>
        <v/>
      </c>
      <c r="Q93" s="2">
        <f>A93</f>
        <v/>
      </c>
      <c r="R93" s="2">
        <f>ABS(B93-J93)</f>
        <v/>
      </c>
      <c r="S93" s="2">
        <f>ABS(C93-K93)</f>
        <v/>
      </c>
      <c r="T93" s="2">
        <f>ABS(D93-L93)</f>
        <v/>
      </c>
      <c r="U93" s="2">
        <f>ABS(E93-M93)</f>
        <v/>
      </c>
      <c r="V93" s="2">
        <f>ABS(F93-N93)</f>
        <v/>
      </c>
      <c r="W93" s="2">
        <f>ABS(G93-O93)</f>
        <v/>
      </c>
    </row>
    <row r="94">
      <c r="A94" s="15" t="inlineStr">
        <is>
          <t>SNE</t>
        </is>
      </c>
      <c r="I94" s="2">
        <f>A94</f>
        <v/>
      </c>
      <c r="Q94" s="2">
        <f>A94</f>
        <v/>
      </c>
      <c r="R94" s="2">
        <f>ABS(B94-J94)</f>
        <v/>
      </c>
      <c r="S94" s="2">
        <f>ABS(C94-K94)</f>
        <v/>
      </c>
      <c r="T94" s="2">
        <f>ABS(D94-L94)</f>
        <v/>
      </c>
      <c r="U94" s="2">
        <f>ABS(E94-M94)</f>
        <v/>
      </c>
      <c r="V94" s="2">
        <f>ABS(F94-N94)</f>
        <v/>
      </c>
      <c r="W94" s="2">
        <f>ABS(G94-O94)</f>
        <v/>
      </c>
    </row>
    <row r="95">
      <c r="A95" s="15" t="inlineStr">
        <is>
          <t>BBD</t>
        </is>
      </c>
      <c r="B95" s="25" t="inlineStr">
        <is>
          <t>8,05</t>
        </is>
      </c>
      <c r="C95" s="23" t="n">
        <v>2.24</v>
      </c>
      <c r="D95" s="20" t="n">
        <v>0.08599999999999999</v>
      </c>
      <c r="E95" s="20" t="n">
        <v>0.2536</v>
      </c>
      <c r="F95" s="20" t="n">
        <v>0.1337</v>
      </c>
      <c r="G95" s="20" t="n">
        <v>0.4706</v>
      </c>
      <c r="I95" s="2">
        <f>A95</f>
        <v/>
      </c>
      <c r="Q95" s="2">
        <f>A95</f>
        <v/>
      </c>
      <c r="R95" s="2">
        <f>ABS(B95-J95)</f>
        <v/>
      </c>
      <c r="S95" s="2">
        <f>ABS(C95-K95)</f>
        <v/>
      </c>
      <c r="T95" s="2">
        <f>ABS(D95-L95)</f>
        <v/>
      </c>
      <c r="U95" s="2">
        <f>ABS(E95-M95)</f>
        <v/>
      </c>
      <c r="V95" s="2">
        <f>ABS(F95-N95)</f>
        <v/>
      </c>
      <c r="W95" s="2">
        <f>ABS(G95-O95)</f>
        <v/>
      </c>
    </row>
    <row r="96">
      <c r="A96" s="15" t="inlineStr">
        <is>
          <t>LLY</t>
        </is>
      </c>
      <c r="B96" s="19" t="n">
        <v>39.38</v>
      </c>
      <c r="C96" s="27" t="n">
        <v>22.95</v>
      </c>
      <c r="D96" s="20" t="n">
        <v>0.2758</v>
      </c>
      <c r="E96" s="20" t="n">
        <v>0.3499</v>
      </c>
      <c r="F96" s="20" t="n">
        <v>1.0746</v>
      </c>
      <c r="G96" s="20" t="n">
        <v>0.221</v>
      </c>
      <c r="I96" s="2">
        <f>A96</f>
        <v/>
      </c>
      <c r="Q96" s="2">
        <f>A96</f>
        <v/>
      </c>
      <c r="R96" s="2">
        <f>ABS(B96-J96)</f>
        <v/>
      </c>
      <c r="S96" s="2">
        <f>ABS(C96-K96)</f>
        <v/>
      </c>
      <c r="T96" s="2">
        <f>ABS(D96-L96)</f>
        <v/>
      </c>
      <c r="U96" s="2">
        <f>ABS(E96-M96)</f>
        <v/>
      </c>
      <c r="V96" s="2">
        <f>ABS(F96-N96)</f>
        <v/>
      </c>
      <c r="W96" s="2">
        <f>ABS(G96-O96)</f>
        <v/>
      </c>
    </row>
    <row r="97">
      <c r="A97" s="15" t="inlineStr">
        <is>
          <t>KB</t>
        </is>
      </c>
      <c r="B97" s="19" t="n">
        <v>9.92</v>
      </c>
      <c r="C97" s="19" t="n">
        <v>15.261</v>
      </c>
      <c r="D97" s="20" t="n">
        <v>0.119</v>
      </c>
      <c r="E97" s="20" t="n">
        <v>0.3658</v>
      </c>
      <c r="F97" s="20" t="n">
        <v>0.0999</v>
      </c>
      <c r="G97" s="12" t="n">
        <v>0.2488</v>
      </c>
      <c r="I97" s="2">
        <f>A97</f>
        <v/>
      </c>
      <c r="Q97" s="2">
        <f>A97</f>
        <v/>
      </c>
      <c r="R97" s="2">
        <f>ABS(B97-J97)</f>
        <v/>
      </c>
      <c r="S97" s="2">
        <f>ABS(C97-K97)</f>
        <v/>
      </c>
      <c r="T97" s="2">
        <f>ABS(D97-L97)</f>
        <v/>
      </c>
      <c r="U97" s="2">
        <f>ABS(E97-M97)</f>
        <v/>
      </c>
      <c r="V97" s="2">
        <f>ABS(F97-N97)</f>
        <v/>
      </c>
      <c r="W97" s="2">
        <f>ABS(G97-O97)</f>
        <v/>
      </c>
    </row>
    <row r="98">
      <c r="A98" s="15" t="inlineStr">
        <is>
          <t>CS</t>
        </is>
      </c>
      <c r="I98" s="2">
        <f>A98</f>
        <v/>
      </c>
      <c r="Q98" s="2">
        <f>A98</f>
        <v/>
      </c>
      <c r="R98" s="2">
        <f>ABS(B98-J98)</f>
        <v/>
      </c>
      <c r="S98" s="2">
        <f>ABS(C98-K98)</f>
        <v/>
      </c>
      <c r="T98" s="2">
        <f>ABS(D98-L98)</f>
        <v/>
      </c>
      <c r="U98" s="2">
        <f>ABS(E98-M98)</f>
        <v/>
      </c>
      <c r="V98" s="2">
        <f>ABS(F98-N98)</f>
        <v/>
      </c>
      <c r="W98" s="2">
        <f>ABS(G98-O98)</f>
        <v/>
      </c>
    </row>
    <row r="99">
      <c r="A99" s="15" t="inlineStr">
        <is>
          <t>VZ</t>
        </is>
      </c>
      <c r="B99" s="19" t="n">
        <v>11.08</v>
      </c>
      <c r="C99" s="25" t="inlineStr">
        <is>
          <t>4,06</t>
        </is>
      </c>
      <c r="D99" s="20" t="n">
        <v>-0.0114</v>
      </c>
      <c r="E99" s="20" t="n">
        <v>0.1246</v>
      </c>
      <c r="F99" s="20" t="n">
        <v>0.172</v>
      </c>
      <c r="G99" s="20" t="n">
        <v>0.6652</v>
      </c>
      <c r="I99" s="2">
        <f>A99</f>
        <v/>
      </c>
      <c r="Q99" s="2">
        <f>A99</f>
        <v/>
      </c>
      <c r="R99" s="2">
        <f>ABS(B99-J99)</f>
        <v/>
      </c>
      <c r="S99" s="2">
        <f>ABS(C99-K99)</f>
        <v/>
      </c>
      <c r="T99" s="2">
        <f>ABS(D99-L99)</f>
        <v/>
      </c>
      <c r="U99" s="2">
        <f>ABS(E99-M99)</f>
        <v/>
      </c>
      <c r="V99" s="2">
        <f>ABS(F99-N99)</f>
        <v/>
      </c>
      <c r="W99" s="2">
        <f>ABS(G99-O99)</f>
        <v/>
      </c>
    </row>
    <row r="100">
      <c r="A100" s="15" t="inlineStr">
        <is>
          <t>WBK</t>
        </is>
      </c>
      <c r="I100" s="2">
        <f>A100</f>
        <v/>
      </c>
      <c r="Q100" s="2">
        <f>A100</f>
        <v/>
      </c>
      <c r="R100" s="2">
        <f>ABS(B100-J100)</f>
        <v/>
      </c>
      <c r="S100" s="2">
        <f>ABS(C100-K100)</f>
        <v/>
      </c>
      <c r="T100" s="2">
        <f>ABS(D100-L100)</f>
        <v/>
      </c>
      <c r="U100" s="2">
        <f>ABS(E100-M100)</f>
        <v/>
      </c>
      <c r="V100" s="2">
        <f>ABS(F100-N100)</f>
        <v/>
      </c>
      <c r="W100" s="2">
        <f>ABS(G100-O100)</f>
        <v/>
      </c>
    </row>
    <row r="101">
      <c r="A101" s="15" t="inlineStr">
        <is>
          <t>HWM</t>
        </is>
      </c>
      <c r="B101" s="19" t="n">
        <v>64.13</v>
      </c>
      <c r="C101" s="19" t="n">
        <v>3.71</v>
      </c>
      <c r="D101" s="20" t="n">
        <v>0.5053</v>
      </c>
      <c r="E101" s="20" t="n">
        <v>0.2022</v>
      </c>
      <c r="F101" s="20" t="n">
        <v>0.3382</v>
      </c>
      <c r="G101" s="20" t="n">
        <v>0.1072</v>
      </c>
      <c r="I101" s="2">
        <f>A101</f>
        <v/>
      </c>
      <c r="Q101" s="2">
        <f>A101</f>
        <v/>
      </c>
      <c r="R101" s="2">
        <f>ABS(B101-J101)</f>
        <v/>
      </c>
      <c r="S101" s="2">
        <f>ABS(C101-K101)</f>
        <v/>
      </c>
      <c r="T101" s="2">
        <f>ABS(D101-L101)</f>
        <v/>
      </c>
      <c r="U101" s="2">
        <f>ABS(E101-M101)</f>
        <v/>
      </c>
      <c r="V101" s="2">
        <f>ABS(F101-N101)</f>
        <v/>
      </c>
      <c r="W101" s="2">
        <f>ABS(G101-O101)</f>
        <v/>
      </c>
    </row>
    <row r="102">
      <c r="A102" s="15" t="inlineStr">
        <is>
          <t>ING</t>
        </is>
      </c>
      <c r="B102" s="19" t="n">
        <v>9.6</v>
      </c>
      <c r="C102" s="19" t="n">
        <v>2.78</v>
      </c>
      <c r="D102" s="20" t="n">
        <v>0.3695</v>
      </c>
      <c r="E102" s="20" t="n">
        <v>0.3423</v>
      </c>
      <c r="F102" s="20" t="n">
        <v>0.1657</v>
      </c>
      <c r="G102" s="20" t="n">
        <v>0.4666</v>
      </c>
      <c r="I102" s="2">
        <f>A102</f>
        <v/>
      </c>
      <c r="Q102" s="2">
        <f>A102</f>
        <v/>
      </c>
      <c r="R102" s="2">
        <f>ABS(B102-J102)</f>
        <v/>
      </c>
      <c r="S102" s="2">
        <f>ABS(C102-K102)</f>
        <v/>
      </c>
      <c r="T102" s="2">
        <f>ABS(D102-L102)</f>
        <v/>
      </c>
      <c r="U102" s="2">
        <f>ABS(E102-M102)</f>
        <v/>
      </c>
      <c r="V102" s="2">
        <f>ABS(F102-N102)</f>
        <v/>
      </c>
      <c r="W102" s="2">
        <f>ABS(G102-O102)</f>
        <v/>
      </c>
    </row>
    <row r="103">
      <c r="A103" s="15" t="inlineStr">
        <is>
          <t>NMR</t>
        </is>
      </c>
      <c r="B103" s="19" t="n">
        <v>11.77</v>
      </c>
      <c r="C103" s="19" t="n">
        <v>118.99</v>
      </c>
      <c r="D103" s="20" t="n">
        <v>0.196</v>
      </c>
      <c r="E103" s="20" t="n">
        <v>0.1671</v>
      </c>
      <c r="F103" s="20" t="n">
        <v>0.1007</v>
      </c>
      <c r="G103" s="20" t="n">
        <v>0.4963</v>
      </c>
      <c r="I103" s="2">
        <f>A103</f>
        <v/>
      </c>
      <c r="Q103" s="2">
        <f>A103</f>
        <v/>
      </c>
      <c r="R103" s="2">
        <f>ABS(B103-J103)</f>
        <v/>
      </c>
      <c r="S103" s="2">
        <f>ABS(C103-K103)</f>
        <v/>
      </c>
      <c r="T103" s="2">
        <f>ABS(D103-L103)</f>
        <v/>
      </c>
      <c r="U103" s="2">
        <f>ABS(E103-M103)</f>
        <v/>
      </c>
      <c r="V103" s="2">
        <f>ABS(F103-N103)</f>
        <v/>
      </c>
      <c r="W103" s="2">
        <f>ABS(G103-O103)</f>
        <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D1000"/>
  <sheetViews>
    <sheetView topLeftCell="F1" workbookViewId="0">
      <selection activeCell="P3" sqref="P3"/>
    </sheetView>
  </sheetViews>
  <sheetFormatPr baseColWidth="10" defaultColWidth="14.42578125" defaultRowHeight="15" customHeight="1"/>
  <sheetData>
    <row r="1">
      <c r="A1" s="54" t="n"/>
      <c r="B1" s="54" t="inlineStr">
        <is>
          <t>INVESTING (manual)</t>
        </is>
      </c>
      <c r="E1" s="54" t="n"/>
      <c r="F1" s="54" t="n"/>
      <c r="G1" s="54" t="n"/>
      <c r="H1" s="54" t="n"/>
      <c r="I1" s="54" t="inlineStr">
        <is>
          <t>EDGAR (nuevos calculos)</t>
        </is>
      </c>
      <c r="J1" s="54" t="n"/>
      <c r="K1" s="54" t="n"/>
      <c r="L1" s="54" t="n"/>
      <c r="M1" s="54" t="n"/>
      <c r="N1" s="54" t="n"/>
      <c r="O1" s="54" t="n"/>
      <c r="P1" s="54" t="n"/>
      <c r="Q1" s="54" t="inlineStr">
        <is>
          <t>COMPARACION % (EDGAR-Investing)</t>
        </is>
      </c>
      <c r="U1" s="54" t="n"/>
      <c r="V1" s="54" t="n"/>
      <c r="W1" s="54" t="n"/>
      <c r="X1" s="54" t="inlineStr">
        <is>
          <t>CALIDAD</t>
        </is>
      </c>
      <c r="Y1" s="54" t="n"/>
      <c r="Z1" s="54" t="n"/>
      <c r="AA1" s="54" t="n"/>
      <c r="AB1" s="54" t="n"/>
      <c r="AC1" s="54" t="n"/>
      <c r="AD1" s="54" t="n"/>
    </row>
    <row r="2">
      <c r="A2" s="54" t="inlineStr">
        <is>
          <t>Ticket</t>
        </is>
      </c>
      <c r="B2" s="54" t="inlineStr">
        <is>
          <t>PER</t>
        </is>
      </c>
      <c r="C2" s="33" t="inlineStr">
        <is>
          <t>EPS</t>
        </is>
      </c>
      <c r="D2" s="54" t="inlineStr">
        <is>
          <t>Crec.EPS</t>
        </is>
      </c>
      <c r="E2" s="54" t="inlineStr">
        <is>
          <t>Margen</t>
        </is>
      </c>
      <c r="F2" s="54" t="inlineStr">
        <is>
          <t>ROE</t>
        </is>
      </c>
      <c r="G2" s="54" t="inlineStr">
        <is>
          <t>Payout</t>
        </is>
      </c>
      <c r="H2" s="54" t="n"/>
      <c r="I2" s="54" t="inlineStr">
        <is>
          <t>PER</t>
        </is>
      </c>
      <c r="J2" s="54" t="inlineStr">
        <is>
          <t>EPS_anual</t>
        </is>
      </c>
      <c r="K2" s="54" t="inlineStr">
        <is>
          <t>EPS_TTM</t>
        </is>
      </c>
      <c r="L2" s="54" t="inlineStr">
        <is>
          <t>Crec.EPS</t>
        </is>
      </c>
      <c r="M2" s="54" t="inlineStr">
        <is>
          <t>Margen</t>
        </is>
      </c>
      <c r="N2" s="54" t="inlineStr">
        <is>
          <t>ROE</t>
        </is>
      </c>
      <c r="O2" s="54" t="inlineStr">
        <is>
          <t>Payout</t>
        </is>
      </c>
      <c r="P2" s="54" t="n"/>
      <c r="Q2" s="54" t="inlineStr">
        <is>
          <t>PER</t>
        </is>
      </c>
      <c r="R2" s="54" t="inlineStr">
        <is>
          <t>EPS(anual)</t>
        </is>
      </c>
      <c r="S2" s="54" t="inlineStr">
        <is>
          <t>Crec.EPS</t>
        </is>
      </c>
      <c r="T2" s="54" t="inlineStr">
        <is>
          <t>Margen</t>
        </is>
      </c>
      <c r="U2" s="54" t="inlineStr">
        <is>
          <t>ROE</t>
        </is>
      </c>
      <c r="V2" s="54" t="inlineStr">
        <is>
          <t>Payout</t>
        </is>
      </c>
      <c r="W2" s="54" t="n"/>
      <c r="X2" s="54" t="inlineStr">
        <is>
          <t>TTM_estrategia</t>
        </is>
      </c>
      <c r="Y2" s="54" t="inlineStr">
        <is>
          <t>stale</t>
        </is>
      </c>
      <c r="Z2" s="54" t="inlineStr">
        <is>
          <t>flags</t>
        </is>
      </c>
      <c r="AA2" s="54" t="n"/>
      <c r="AB2" s="54" t="n"/>
      <c r="AC2" s="54" t="n"/>
      <c r="AD2" s="54" t="n"/>
    </row>
    <row r="3">
      <c r="A3" s="54" t="inlineStr">
        <is>
          <t>GS</t>
        </is>
      </c>
      <c r="B3" s="33" t="n">
        <v>20.09</v>
      </c>
      <c r="C3" s="33" t="n">
        <v>51.32</v>
      </c>
      <c r="D3" s="34" t="n">
        <v>0.1571</v>
      </c>
      <c r="E3" s="35" t="n">
        <v>0.2936</v>
      </c>
      <c r="F3" s="35" t="n">
        <v>0.1455</v>
      </c>
      <c r="G3" s="35" t="n">
        <v>0.3182</v>
      </c>
      <c r="H3" s="54" t="n"/>
      <c r="I3" s="33" t="n">
        <v>18.36</v>
      </c>
      <c r="J3" s="36" t="n">
        <v>51.32</v>
      </c>
      <c r="K3" s="33" t="n">
        <v>58.66</v>
      </c>
      <c r="L3" s="35" t="n">
        <v>0.1571</v>
      </c>
      <c r="M3" s="34" t="n"/>
      <c r="N3" s="35" t="n">
        <v>0.1463</v>
      </c>
      <c r="O3" s="35" t="n">
        <v>0.3182</v>
      </c>
      <c r="P3" s="54" t="n"/>
      <c r="Q3" s="35">
        <f>ABS(B3-I3)/B3</f>
        <v/>
      </c>
      <c r="R3" s="35">
        <f>ABS(C3-J3)/C3</f>
        <v/>
      </c>
      <c r="S3" s="35">
        <f>ABS(D3-L3)/D3</f>
        <v/>
      </c>
      <c r="T3" s="35">
        <f>ABS(E3-M3)/E3</f>
        <v/>
      </c>
      <c r="U3" s="35">
        <f>ABS(F3-N3)/F3</f>
        <v/>
      </c>
      <c r="V3" s="35">
        <f>ABS(G3-O3)/G3</f>
        <v/>
      </c>
      <c r="W3" s="54" t="n"/>
      <c r="X3" s="54" t="inlineStr">
        <is>
          <t>B</t>
        </is>
      </c>
      <c r="Y3" s="54" t="n"/>
      <c r="Z3" s="54" t="n"/>
      <c r="AA3" s="54" t="n"/>
      <c r="AB3" s="54" t="n"/>
      <c r="AC3" s="54" t="n"/>
      <c r="AD3" s="54" t="n"/>
    </row>
    <row r="4">
      <c r="A4" s="54" t="inlineStr">
        <is>
          <t>IBN</t>
        </is>
      </c>
      <c r="B4" s="33" t="n">
        <v>18.39</v>
      </c>
      <c r="C4" s="33" t="n">
        <v>74.77</v>
      </c>
      <c r="D4" s="35" t="n">
        <v>0.431</v>
      </c>
      <c r="E4" s="54" t="n"/>
      <c r="F4" s="35" t="n">
        <v>0.16</v>
      </c>
      <c r="G4" s="35" t="n">
        <v>0.0021</v>
      </c>
      <c r="H4" s="54" t="n"/>
      <c r="I4" s="54" t="n"/>
      <c r="J4" s="54" t="n"/>
      <c r="K4" s="54" t="n"/>
      <c r="L4" s="54" t="n"/>
      <c r="M4" s="54" t="n"/>
      <c r="N4" s="54" t="n"/>
      <c r="O4" s="54" t="n"/>
      <c r="P4" s="54" t="n"/>
      <c r="Q4" s="35" t="n"/>
      <c r="R4" s="35" t="n"/>
      <c r="S4" s="35" t="n"/>
      <c r="T4" s="35" t="n"/>
      <c r="U4" s="35" t="n"/>
      <c r="V4" s="35" t="n"/>
      <c r="W4" s="54" t="n"/>
      <c r="X4" s="54" t="n"/>
      <c r="Y4" s="54" t="n"/>
      <c r="Z4" s="54" t="n"/>
      <c r="AA4" s="54" t="n"/>
      <c r="AB4" s="54" t="n"/>
      <c r="AC4" s="54" t="n"/>
      <c r="AD4" s="54" t="n"/>
    </row>
    <row r="5">
      <c r="A5" s="54" t="inlineStr">
        <is>
          <t>INFY</t>
        </is>
      </c>
      <c r="B5" s="33" t="n">
        <v>14.01</v>
      </c>
      <c r="C5" s="33" t="n">
        <v>0.8</v>
      </c>
      <c r="D5" s="35" t="n">
        <v>0.07630000000000001</v>
      </c>
      <c r="E5" s="35" t="n">
        <v>0.295</v>
      </c>
      <c r="F5" s="35" t="n">
        <v>0.31</v>
      </c>
      <c r="G5" s="35" t="n">
        <v>0.0409</v>
      </c>
      <c r="H5" s="54" t="n"/>
      <c r="I5" s="54" t="n"/>
      <c r="J5" s="54" t="n"/>
      <c r="K5" s="54" t="n"/>
      <c r="L5" s="54" t="n"/>
      <c r="M5" s="54" t="n"/>
      <c r="N5" s="54" t="n"/>
      <c r="O5" s="54" t="n"/>
      <c r="P5" s="54" t="n"/>
      <c r="Q5" s="35" t="n"/>
      <c r="R5" s="35" t="n"/>
      <c r="S5" s="35" t="n"/>
      <c r="T5" s="35" t="n"/>
      <c r="U5" s="35" t="n"/>
      <c r="V5" s="35" t="n"/>
      <c r="W5" s="54" t="n"/>
      <c r="X5" s="54" t="inlineStr">
        <is>
          <t>C</t>
        </is>
      </c>
      <c r="Y5" s="54" t="n"/>
      <c r="Z5" s="54" t="inlineStr">
        <is>
          <t>ni_es_fy_no_ttm</t>
        </is>
      </c>
      <c r="AA5" s="54" t="n"/>
      <c r="AB5" s="54" t="n"/>
      <c r="AC5" s="54" t="n"/>
      <c r="AD5" s="54" t="n"/>
    </row>
    <row r="6">
      <c r="A6" s="54" t="inlineStr">
        <is>
          <t>NOK</t>
        </is>
      </c>
      <c r="B6" s="33" t="n">
        <v>89.09</v>
      </c>
      <c r="C6" s="33" t="n">
        <v>0.14</v>
      </c>
      <c r="D6" s="35" t="n">
        <v>0.0539</v>
      </c>
      <c r="E6" s="35" t="n">
        <v>0.454</v>
      </c>
      <c r="F6" s="35" t="n">
        <v>0.037</v>
      </c>
      <c r="G6" s="35" t="n">
        <v>0.009299999999999999</v>
      </c>
      <c r="H6" s="54" t="n"/>
      <c r="I6" s="54" t="n"/>
      <c r="J6" s="54" t="n"/>
      <c r="K6" s="54" t="n"/>
      <c r="L6" s="54" t="n"/>
      <c r="M6" s="54" t="n"/>
      <c r="N6" s="54" t="n"/>
      <c r="O6" s="54" t="n"/>
      <c r="P6" s="54" t="n"/>
      <c r="Q6" s="35" t="n"/>
      <c r="R6" s="35" t="n"/>
      <c r="S6" s="35" t="n"/>
      <c r="T6" s="35" t="n"/>
      <c r="U6" s="35" t="n"/>
      <c r="V6" s="35" t="n"/>
      <c r="W6" s="54" t="n"/>
      <c r="X6" s="54" t="n"/>
      <c r="Y6" s="54" t="n"/>
      <c r="Z6" s="54" t="n"/>
      <c r="AA6" s="54" t="n"/>
      <c r="AB6" s="54" t="n"/>
      <c r="AC6" s="54" t="n"/>
      <c r="AD6" s="54" t="n"/>
    </row>
    <row r="7">
      <c r="A7" s="54" t="inlineStr">
        <is>
          <t>CHL</t>
        </is>
      </c>
      <c r="B7" s="54" t="n"/>
      <c r="C7" s="33" t="n"/>
      <c r="D7" s="54" t="n"/>
      <c r="E7" s="54" t="n"/>
      <c r="F7" s="54" t="n"/>
      <c r="G7" s="54" t="n"/>
      <c r="H7" s="54" t="n"/>
      <c r="I7" s="54" t="n"/>
      <c r="J7" s="54" t="n"/>
      <c r="K7" s="54" t="n"/>
      <c r="L7" s="54" t="n"/>
      <c r="M7" s="54" t="n"/>
      <c r="N7" s="54" t="n"/>
      <c r="O7" s="54" t="n"/>
      <c r="P7" s="54" t="n"/>
      <c r="Q7" s="35" t="n"/>
      <c r="R7" s="35" t="n"/>
      <c r="S7" s="35" t="n"/>
      <c r="T7" s="35" t="n"/>
      <c r="U7" s="35" t="n"/>
      <c r="V7" s="35" t="n"/>
      <c r="W7" s="54" t="n"/>
      <c r="X7" s="54" t="n"/>
      <c r="Y7" s="54" t="n"/>
      <c r="Z7" s="54" t="n"/>
      <c r="AA7" s="54" t="n"/>
      <c r="AB7" s="54" t="n"/>
      <c r="AC7" s="54" t="n"/>
      <c r="AD7" s="54" t="n"/>
    </row>
    <row r="8">
      <c r="A8" s="54" t="inlineStr">
        <is>
          <t>VALE</t>
        </is>
      </c>
      <c r="B8" s="33" t="n">
        <v>21.25</v>
      </c>
      <c r="C8" s="33" t="n">
        <v>3.65</v>
      </c>
      <c r="D8" s="35" t="n">
        <v>-0.0914</v>
      </c>
      <c r="E8" s="35" t="n">
        <v>0.351</v>
      </c>
      <c r="F8" s="35" t="n">
        <v>0.079</v>
      </c>
      <c r="G8" s="35" t="n">
        <v>0.08</v>
      </c>
      <c r="H8" s="54" t="n"/>
      <c r="I8" s="54" t="n"/>
      <c r="J8" s="54" t="n"/>
      <c r="K8" s="54" t="n"/>
      <c r="L8" s="54" t="n"/>
      <c r="M8" s="54" t="n"/>
      <c r="N8" s="54" t="n"/>
      <c r="O8" s="54" t="n"/>
      <c r="P8" s="54" t="n"/>
      <c r="Q8" s="35" t="n"/>
      <c r="R8" s="35" t="n"/>
      <c r="S8" s="35" t="n"/>
      <c r="T8" s="35" t="n"/>
      <c r="U8" s="35" t="n"/>
      <c r="V8" s="35" t="n"/>
      <c r="W8" s="54" t="n"/>
      <c r="X8" s="54" t="inlineStr">
        <is>
          <t>C</t>
        </is>
      </c>
      <c r="Y8" s="54" t="inlineStr">
        <is>
          <t>SI</t>
        </is>
      </c>
      <c r="Z8" s="54" t="inlineStr">
        <is>
          <t>stale_2012-12-31</t>
        </is>
      </c>
      <c r="AA8" s="54" t="n"/>
      <c r="AB8" s="54" t="n"/>
      <c r="AC8" s="54" t="n"/>
      <c r="AD8" s="54" t="n"/>
    </row>
    <row r="9">
      <c r="A9" s="54" t="inlineStr">
        <is>
          <t>BRFS</t>
        </is>
      </c>
      <c r="B9" s="54" t="n"/>
      <c r="C9" s="33" t="n"/>
      <c r="D9" s="54" t="n"/>
      <c r="E9" s="54" t="n"/>
      <c r="F9" s="54" t="n"/>
      <c r="G9" s="54" t="n"/>
      <c r="H9" s="54" t="n"/>
      <c r="I9" s="54" t="n"/>
      <c r="J9" s="54" t="n"/>
      <c r="K9" s="54" t="n"/>
      <c r="L9" s="54" t="n"/>
      <c r="M9" s="54" t="n"/>
      <c r="N9" s="54" t="n"/>
      <c r="O9" s="54" t="n"/>
      <c r="P9" s="54" t="n"/>
      <c r="Q9" s="35" t="n"/>
      <c r="R9" s="35" t="n"/>
      <c r="S9" s="35" t="n"/>
      <c r="T9" s="35" t="n"/>
      <c r="U9" s="35" t="n"/>
      <c r="V9" s="35" t="n"/>
      <c r="W9" s="54" t="n"/>
      <c r="X9" s="54" t="n"/>
      <c r="Y9" s="54" t="n"/>
      <c r="Z9" s="54" t="n"/>
      <c r="AA9" s="54" t="n"/>
      <c r="AB9" s="54" t="n"/>
      <c r="AC9" s="54" t="n"/>
      <c r="AD9" s="54" t="n"/>
    </row>
    <row r="10">
      <c r="A10" s="54" t="inlineStr">
        <is>
          <t>MUFG</t>
        </is>
      </c>
      <c r="B10" s="2" t="n">
        <v>15.4</v>
      </c>
      <c r="C10" s="37" t="n">
        <v>212.3355</v>
      </c>
      <c r="D10" s="12" t="n">
        <v>0.2803</v>
      </c>
      <c r="E10" s="12" t="n">
        <v>0.2851</v>
      </c>
      <c r="F10" s="16" t="n">
        <v>0.12</v>
      </c>
      <c r="G10" s="12" t="n">
        <v>0.3495</v>
      </c>
      <c r="H10" s="54" t="n"/>
      <c r="I10" s="54" t="n"/>
      <c r="J10" s="54" t="n"/>
      <c r="K10" s="54" t="n"/>
      <c r="L10" s="54" t="n"/>
      <c r="M10" s="54" t="n"/>
      <c r="N10" s="54" t="n"/>
      <c r="O10" s="54" t="n"/>
      <c r="P10" s="54" t="n"/>
      <c r="Q10" s="35" t="n"/>
      <c r="R10" s="35" t="n"/>
      <c r="S10" s="35" t="n"/>
      <c r="T10" s="35" t="n"/>
      <c r="U10" s="35" t="n"/>
      <c r="V10" s="35" t="n"/>
      <c r="W10" s="54" t="n"/>
      <c r="X10" s="54" t="n"/>
      <c r="Y10" s="54" t="n"/>
      <c r="Z10" s="54" t="n"/>
      <c r="AA10" s="54" t="n"/>
      <c r="AB10" s="54" t="n"/>
      <c r="AC10" s="54" t="n"/>
      <c r="AD10" s="54" t="n"/>
    </row>
    <row r="11">
      <c r="A11" s="54" t="inlineStr">
        <is>
          <t>TSM</t>
        </is>
      </c>
      <c r="B11" s="2" t="n">
        <v>34.1</v>
      </c>
      <c r="C11" s="37" t="n">
        <v>73.60550000000001</v>
      </c>
      <c r="D11" s="12" t="n">
        <v>0.1855</v>
      </c>
      <c r="E11" s="12" t="n">
        <v>0.619</v>
      </c>
      <c r="F11" s="12" t="n">
        <v>0.365</v>
      </c>
      <c r="G11" s="12" t="n">
        <v>0.0081</v>
      </c>
      <c r="H11" s="54" t="n"/>
      <c r="I11" s="54" t="n"/>
      <c r="J11" s="54" t="n"/>
      <c r="K11" s="54" t="n"/>
      <c r="L11" s="54" t="n"/>
      <c r="M11" s="54" t="n"/>
      <c r="N11" s="54" t="n"/>
      <c r="O11" s="54" t="n"/>
      <c r="P11" s="54" t="n"/>
      <c r="Q11" s="35" t="n"/>
      <c r="R11" s="35" t="n"/>
      <c r="S11" s="35" t="n"/>
      <c r="T11" s="35" t="n"/>
      <c r="U11" s="35" t="n"/>
      <c r="V11" s="35" t="n"/>
      <c r="W11" s="54" t="n"/>
      <c r="X11" s="54" t="inlineStr">
        <is>
          <t>C</t>
        </is>
      </c>
      <c r="Y11" s="54" t="n"/>
      <c r="Z11" s="54" t="inlineStr">
        <is>
          <t>ni_es_fy_no_ttm</t>
        </is>
      </c>
      <c r="AA11" s="54" t="n"/>
      <c r="AB11" s="54" t="n"/>
      <c r="AC11" s="54" t="n"/>
      <c r="AD11" s="54" t="n"/>
    </row>
    <row r="12">
      <c r="A12" s="54" t="inlineStr">
        <is>
          <t>GRMN</t>
        </is>
      </c>
      <c r="B12" s="2" t="n">
        <v>27.54</v>
      </c>
      <c r="C12" s="37" t="n">
        <v>8.960000000000001</v>
      </c>
      <c r="D12" s="12" t="n">
        <v>0.094</v>
      </c>
      <c r="E12" s="12" t="n">
        <v>0.2369</v>
      </c>
      <c r="F12" s="12" t="n">
        <v>0.199</v>
      </c>
      <c r="G12" s="12" t="n">
        <v>0.3991</v>
      </c>
      <c r="H12" s="54" t="n"/>
      <c r="I12" s="33" t="n">
        <v>26.76</v>
      </c>
      <c r="J12" s="33" t="n">
        <v>8.59</v>
      </c>
      <c r="K12" s="36" t="n">
        <v>8.970000000000001</v>
      </c>
      <c r="L12" s="35" t="n">
        <v>0.1069</v>
      </c>
      <c r="M12" s="35" t="n">
        <v>0.2326</v>
      </c>
      <c r="N12" s="35" t="n">
        <v>0.199</v>
      </c>
      <c r="O12" s="35" t="n">
        <v>0.3991</v>
      </c>
      <c r="P12" s="54" t="n"/>
      <c r="Q12" s="35">
        <f>ABS(B12-I12)/B12</f>
        <v/>
      </c>
      <c r="R12" s="35">
        <f>ABS(C12-J12)/C12</f>
        <v/>
      </c>
      <c r="S12" s="35">
        <f>ABS(D12-L12)/D12</f>
        <v/>
      </c>
      <c r="T12" s="35">
        <f>ABS(E12-M12)/E12</f>
        <v/>
      </c>
      <c r="U12" s="35">
        <f>ABS(F12-N12)/F12</f>
        <v/>
      </c>
      <c r="V12" s="35">
        <f>ABS(G12-O12)/G12</f>
        <v/>
      </c>
      <c r="W12" s="54" t="n"/>
      <c r="X12" s="54" t="inlineStr">
        <is>
          <t>B</t>
        </is>
      </c>
      <c r="Y12" s="54" t="n"/>
      <c r="Z12" s="54" t="inlineStr">
        <is>
          <t>ebitda_da_mas_intangibles</t>
        </is>
      </c>
      <c r="AA12" s="54" t="n"/>
      <c r="AB12" s="54" t="n"/>
      <c r="AC12" s="54" t="n"/>
      <c r="AD12" s="54" t="n"/>
    </row>
    <row r="13">
      <c r="A13" s="54" t="inlineStr">
        <is>
          <t>VIV</t>
        </is>
      </c>
      <c r="B13" s="2" t="n">
        <v>7.01</v>
      </c>
      <c r="C13" s="37" t="n">
        <v>1.97</v>
      </c>
      <c r="D13" s="12" t="n">
        <v>-0.134</v>
      </c>
      <c r="E13" s="12" t="n">
        <v>0.105</v>
      </c>
      <c r="F13" s="12" t="n">
        <v>0.092</v>
      </c>
      <c r="G13" s="12" t="n">
        <v>0.3546</v>
      </c>
      <c r="H13" s="54" t="n"/>
      <c r="I13" s="54" t="n"/>
      <c r="J13" s="54" t="n"/>
      <c r="K13" s="54" t="n"/>
      <c r="L13" s="54" t="n"/>
      <c r="M13" s="54" t="n"/>
      <c r="N13" s="54" t="n"/>
      <c r="O13" s="54" t="n"/>
      <c r="P13" s="54" t="n"/>
      <c r="Q13" s="35" t="n"/>
      <c r="R13" s="35" t="n"/>
      <c r="S13" s="35" t="n"/>
      <c r="T13" s="35" t="n"/>
      <c r="U13" s="35" t="n"/>
      <c r="V13" s="35" t="n"/>
      <c r="W13" s="54" t="n"/>
      <c r="X13" s="54" t="n"/>
      <c r="Y13" s="54" t="n"/>
      <c r="Z13" s="54" t="n"/>
      <c r="AA13" s="54" t="n"/>
      <c r="AB13" s="54" t="n"/>
      <c r="AC13" s="54" t="n"/>
      <c r="AD13" s="54" t="n"/>
    </row>
    <row r="14">
      <c r="A14" s="54" t="inlineStr">
        <is>
          <t>RIO</t>
        </is>
      </c>
      <c r="B14" s="2" t="n">
        <v>15.41</v>
      </c>
      <c r="C14" s="37" t="n">
        <v>6.084</v>
      </c>
      <c r="D14" s="12" t="n">
        <v>-0.0293</v>
      </c>
      <c r="E14" s="12" t="n">
        <v>0.1729</v>
      </c>
      <c r="F14" s="16" t="n">
        <v>0.17</v>
      </c>
      <c r="G14" s="12" t="n">
        <v>0.6166</v>
      </c>
      <c r="H14" s="54" t="n"/>
      <c r="I14" s="54" t="n"/>
      <c r="J14" s="54" t="n"/>
      <c r="K14" s="54" t="n"/>
      <c r="L14" s="54" t="n"/>
      <c r="M14" s="54" t="n"/>
      <c r="N14" s="54" t="n"/>
      <c r="O14" s="54" t="n"/>
      <c r="P14" s="54" t="n"/>
      <c r="Q14" s="35" t="n"/>
      <c r="R14" s="35" t="n"/>
      <c r="S14" s="35" t="n"/>
      <c r="T14" s="35" t="n"/>
      <c r="U14" s="35" t="n"/>
      <c r="V14" s="35" t="n"/>
      <c r="W14" s="54" t="n"/>
      <c r="X14" s="54" t="inlineStr">
        <is>
          <t>C</t>
        </is>
      </c>
      <c r="Y14" s="54" t="n"/>
      <c r="Z14" s="54" t="inlineStr">
        <is>
          <t>ni_es_fy_no_ttm</t>
        </is>
      </c>
      <c r="AA14" s="54" t="n"/>
      <c r="AB14" s="54" t="n"/>
      <c r="AC14" s="54" t="n"/>
      <c r="AD14" s="54" t="n"/>
    </row>
    <row r="15">
      <c r="A15" s="54" t="inlineStr">
        <is>
          <t>CHA</t>
        </is>
      </c>
      <c r="B15" s="54" t="n"/>
      <c r="C15" s="33" t="n">
        <v>4.41</v>
      </c>
      <c r="D15" s="54" t="n"/>
      <c r="E15" s="54" t="n"/>
      <c r="F15" s="35" t="n">
        <v>0.147</v>
      </c>
      <c r="G15" s="54" t="n"/>
      <c r="H15" s="54" t="n"/>
      <c r="I15" s="54" t="n"/>
      <c r="J15" s="54" t="n"/>
      <c r="K15" s="54" t="n"/>
      <c r="L15" s="54" t="n"/>
      <c r="M15" s="54" t="n"/>
      <c r="N15" s="54" t="n"/>
      <c r="O15" s="54" t="n"/>
      <c r="P15" s="54" t="n"/>
      <c r="Q15" s="35" t="n"/>
      <c r="R15" s="35" t="n"/>
      <c r="S15" s="35" t="n"/>
      <c r="T15" s="35" t="n"/>
      <c r="U15" s="35" t="n"/>
      <c r="V15" s="35" t="n"/>
      <c r="W15" s="54" t="n"/>
      <c r="X15" s="54" t="n"/>
      <c r="Y15" s="54" t="n"/>
      <c r="Z15" s="54" t="n"/>
      <c r="AA15" s="54" t="n"/>
      <c r="AB15" s="54" t="n"/>
      <c r="AC15" s="54" t="n"/>
      <c r="AD15" s="54" t="n"/>
    </row>
    <row r="16">
      <c r="A16" s="54" t="inlineStr">
        <is>
          <t>GOLD</t>
        </is>
      </c>
      <c r="B16" s="2" t="n">
        <v>13.56</v>
      </c>
      <c r="C16" s="38" t="n">
        <v>3.0718</v>
      </c>
      <c r="D16" s="12" t="n">
        <v>-0.1991</v>
      </c>
      <c r="E16" s="12" t="n">
        <v>0.0035</v>
      </c>
      <c r="F16" s="12" t="n">
        <v>0.108</v>
      </c>
      <c r="G16" s="12" t="n">
        <v>0.2549</v>
      </c>
      <c r="H16" s="54" t="n"/>
      <c r="I16" s="54" t="n"/>
      <c r="J16" s="54" t="n"/>
      <c r="K16" s="54" t="n"/>
      <c r="L16" s="54" t="n"/>
      <c r="M16" s="54" t="n"/>
      <c r="N16" s="54" t="n"/>
      <c r="O16" s="54" t="n"/>
      <c r="P16" s="54" t="n"/>
      <c r="Q16" s="35" t="n"/>
      <c r="R16" s="35" t="n"/>
      <c r="S16" s="35" t="n"/>
      <c r="T16" s="35" t="n"/>
      <c r="U16" s="35" t="n"/>
      <c r="V16" s="35" t="n"/>
      <c r="W16" s="54" t="n"/>
      <c r="X16" s="54" t="n"/>
      <c r="Y16" s="54" t="n"/>
      <c r="Z16" s="54" t="n"/>
      <c r="AA16" s="54" t="n"/>
      <c r="AB16" s="54" t="n"/>
      <c r="AC16" s="54" t="n"/>
      <c r="AD16" s="54" t="n"/>
    </row>
    <row r="17">
      <c r="A17" s="54" t="inlineStr">
        <is>
          <t>TRV</t>
        </is>
      </c>
      <c r="B17" s="2" t="n">
        <v>9.6</v>
      </c>
      <c r="C17" s="38" t="n">
        <v>33.6177</v>
      </c>
      <c r="D17" s="12" t="n">
        <v>0.0529</v>
      </c>
      <c r="E17" s="12" t="n">
        <v>0.1554</v>
      </c>
      <c r="F17" s="12" t="n">
        <v>0.251</v>
      </c>
      <c r="G17" s="12" t="n">
        <v>0.1284</v>
      </c>
      <c r="H17" s="54" t="n"/>
      <c r="I17" s="33" t="n">
        <v>9.210000000000001</v>
      </c>
      <c r="J17" s="33" t="n">
        <v>27.43</v>
      </c>
      <c r="K17" s="36" t="n">
        <v>34.82</v>
      </c>
      <c r="L17" s="35" t="n">
        <v>0.2113</v>
      </c>
      <c r="M17" s="35" t="n">
        <v>0.1554</v>
      </c>
      <c r="N17" s="35" t="n">
        <v>0.2527</v>
      </c>
      <c r="O17" s="35" t="n">
        <v>0.1284</v>
      </c>
      <c r="P17" s="54" t="n"/>
      <c r="Q17" s="35">
        <f>ABS(B17-I17)/B17</f>
        <v/>
      </c>
      <c r="R17" s="35">
        <f>ABS(C17-J17)/C17</f>
        <v/>
      </c>
      <c r="S17" s="35">
        <f>ABS(D17-L17)/D17</f>
        <v/>
      </c>
      <c r="T17" s="35">
        <f>ABS(E17-M17)/E17</f>
        <v/>
      </c>
      <c r="U17" s="35">
        <f>ABS(F17-N17)/F17</f>
        <v/>
      </c>
      <c r="V17" s="35">
        <f>ABS(G17-O17)/G17</f>
        <v/>
      </c>
      <c r="W17" s="54" t="n"/>
      <c r="X17" s="54" t="inlineStr">
        <is>
          <t>B</t>
        </is>
      </c>
      <c r="Y17" s="54" t="n"/>
      <c r="Z17" s="54" t="n"/>
      <c r="AA17" s="54" t="n"/>
      <c r="AB17" s="54" t="n"/>
      <c r="AC17" s="54" t="n"/>
      <c r="AD17" s="54" t="n"/>
    </row>
    <row r="18">
      <c r="A18" s="54" t="inlineStr">
        <is>
          <t>AUY</t>
        </is>
      </c>
      <c r="B18" s="54" t="n"/>
      <c r="C18" s="33" t="n"/>
      <c r="D18" s="54" t="n"/>
      <c r="E18" s="54" t="n"/>
      <c r="F18" s="54" t="n"/>
      <c r="G18" s="54" t="n"/>
      <c r="H18" s="54" t="n"/>
      <c r="I18" s="54" t="n"/>
      <c r="J18" s="54" t="n"/>
      <c r="K18" s="54" t="n"/>
      <c r="L18" s="54" t="n"/>
      <c r="M18" s="54" t="n"/>
      <c r="N18" s="54" t="n"/>
      <c r="O18" s="54" t="n"/>
      <c r="P18" s="54" t="n"/>
      <c r="Q18" s="35" t="n"/>
      <c r="R18" s="35" t="n"/>
      <c r="S18" s="35" t="n"/>
      <c r="T18" s="35" t="n"/>
      <c r="U18" s="35" t="n"/>
      <c r="V18" s="35" t="n"/>
      <c r="W18" s="54" t="n"/>
      <c r="X18" s="54" t="n"/>
      <c r="Y18" s="54" t="n"/>
      <c r="Z18" s="54" t="n"/>
      <c r="AA18" s="54" t="n"/>
      <c r="AB18" s="54" t="n"/>
      <c r="AC18" s="54" t="n"/>
      <c r="AD18" s="54" t="n"/>
    </row>
    <row r="19">
      <c r="A19" s="54" t="inlineStr">
        <is>
          <t>CSCO</t>
        </is>
      </c>
      <c r="B19" s="2" t="n">
        <v>40.03</v>
      </c>
      <c r="C19" s="37" t="n">
        <v>3.0002</v>
      </c>
      <c r="D19" s="12" t="n">
        <v>0.0262</v>
      </c>
      <c r="E19" s="12" t="n">
        <v>0.1969</v>
      </c>
      <c r="F19" s="12" t="n">
        <v>0.252</v>
      </c>
      <c r="G19" s="12" t="n">
        <v>0.5452</v>
      </c>
      <c r="H19" s="54" t="n"/>
      <c r="I19" s="33" t="n">
        <v>39.92</v>
      </c>
      <c r="J19" s="33" t="n">
        <v>2.55</v>
      </c>
      <c r="K19" s="36" t="n">
        <v>3</v>
      </c>
      <c r="L19" s="35" t="n">
        <v>-0.0069</v>
      </c>
      <c r="M19" s="35" t="n">
        <v>0.1969</v>
      </c>
      <c r="N19" s="35" t="n">
        <v>0.2523</v>
      </c>
      <c r="O19" s="35" t="n">
        <v>0.5452</v>
      </c>
      <c r="P19" s="54" t="n"/>
      <c r="Q19" s="35">
        <f>ABS(B19-I19)/B19</f>
        <v/>
      </c>
      <c r="R19" s="35">
        <f>ABS(C19-J19)/C19</f>
        <v/>
      </c>
      <c r="S19" s="35">
        <f>ABS(D19-L19)/D19</f>
        <v/>
      </c>
      <c r="T19" s="35">
        <f>ABS(E19-M19)/E19</f>
        <v/>
      </c>
      <c r="U19" s="35">
        <f>ABS(F19-N19)/F19</f>
        <v/>
      </c>
      <c r="V19" s="35">
        <f>ABS(G19-O19)/G19</f>
        <v/>
      </c>
      <c r="W19" s="54" t="n"/>
      <c r="X19" s="54" t="inlineStr">
        <is>
          <t>B</t>
        </is>
      </c>
      <c r="Y19" s="54" t="n"/>
      <c r="Z19" s="54" t="n"/>
      <c r="AA19" s="54" t="n"/>
      <c r="AB19" s="54" t="n"/>
      <c r="AC19" s="54" t="n"/>
      <c r="AD19" s="54" t="n"/>
    </row>
    <row r="20">
      <c r="A20" s="54" t="inlineStr">
        <is>
          <t>SBS</t>
        </is>
      </c>
      <c r="B20" s="2" t="n">
        <v>11.58</v>
      </c>
      <c r="C20" s="37" t="n">
        <v>2.4567</v>
      </c>
      <c r="D20" s="12" t="n">
        <v>0.5377</v>
      </c>
      <c r="E20" s="12" t="n">
        <v>0.2203</v>
      </c>
      <c r="F20" s="12" t="n">
        <v>0.213</v>
      </c>
      <c r="G20" s="12" t="n">
        <v>0.2708</v>
      </c>
      <c r="H20" s="54" t="n"/>
      <c r="I20" s="54" t="n"/>
      <c r="J20" s="54" t="n"/>
      <c r="K20" s="54" t="n"/>
      <c r="L20" s="54" t="n"/>
      <c r="M20" s="54" t="n"/>
      <c r="N20" s="54" t="n"/>
      <c r="O20" s="54" t="n"/>
      <c r="P20" s="54" t="n"/>
      <c r="Q20" s="35" t="n"/>
      <c r="R20" s="35" t="n"/>
      <c r="S20" s="35" t="n"/>
      <c r="T20" s="35" t="n"/>
      <c r="U20" s="35" t="n"/>
      <c r="V20" s="35" t="n"/>
      <c r="W20" s="54" t="n"/>
      <c r="X20" s="54" t="n"/>
      <c r="Y20" s="54" t="n"/>
      <c r="Z20" s="54" t="n"/>
      <c r="AA20" s="54" t="n"/>
      <c r="AB20" s="54" t="n"/>
      <c r="AC20" s="54" t="n"/>
      <c r="AD20" s="54" t="n"/>
    </row>
    <row r="21">
      <c r="A21" s="54" t="inlineStr">
        <is>
          <t>INTC</t>
        </is>
      </c>
      <c r="B21" s="2" t="n">
        <v>-200.22</v>
      </c>
      <c r="C21" s="37" t="n">
        <v>-0.6732</v>
      </c>
      <c r="D21" s="12" t="n">
        <v>-0.5861</v>
      </c>
      <c r="E21" s="12" t="n">
        <v>-0.059</v>
      </c>
      <c r="F21" s="16" t="n">
        <v>-0.03</v>
      </c>
      <c r="G21" s="16" t="n">
        <v>0</v>
      </c>
      <c r="H21" s="54" t="n"/>
      <c r="I21" s="54" t="n"/>
      <c r="J21" s="33" t="n">
        <v>-0.06</v>
      </c>
      <c r="K21" s="33" t="n">
        <v>-0.62</v>
      </c>
      <c r="L21" s="54" t="n"/>
      <c r="M21" s="35" t="n">
        <v>-0.059</v>
      </c>
      <c r="N21" s="35" t="n">
        <v>-0.0301</v>
      </c>
      <c r="O21" s="54" t="n"/>
      <c r="P21" s="54" t="n"/>
      <c r="Q21" s="35" t="n"/>
      <c r="R21" s="35">
        <f>ABS(C21-J21)/C21</f>
        <v/>
      </c>
      <c r="S21" s="35" t="n"/>
      <c r="T21" s="35">
        <f>ABS(E21-M21)/E21</f>
        <v/>
      </c>
      <c r="U21" s="35">
        <f>ABS(F21-N21)/F21</f>
        <v/>
      </c>
      <c r="V21" s="35" t="n"/>
      <c r="W21" s="54" t="n"/>
      <c r="X21" s="54" t="inlineStr">
        <is>
          <t>B</t>
        </is>
      </c>
      <c r="Y21" s="54" t="n"/>
      <c r="Z21" s="54" t="inlineStr">
        <is>
          <t>ebitda_da_mas_intangibles</t>
        </is>
      </c>
      <c r="AA21" s="54" t="n"/>
      <c r="AB21" s="54" t="n"/>
      <c r="AC21" s="54" t="n"/>
      <c r="AD21" s="54" t="n"/>
    </row>
    <row r="22">
      <c r="A22" s="54" t="inlineStr">
        <is>
          <t>MFG</t>
        </is>
      </c>
      <c r="B22" s="2" t="n">
        <v>15.35</v>
      </c>
      <c r="C22" s="37" t="n">
        <v>502.92</v>
      </c>
      <c r="D22" s="12" t="n">
        <v>0.1409</v>
      </c>
      <c r="E22" s="12" t="n">
        <v>0.2837</v>
      </c>
      <c r="F22" s="12" t="n">
        <v>0.115</v>
      </c>
      <c r="G22" s="12" t="n">
        <v>0.2963</v>
      </c>
      <c r="H22" s="54" t="n"/>
      <c r="I22" s="54" t="n"/>
      <c r="J22" s="54" t="n"/>
      <c r="K22" s="54" t="n"/>
      <c r="L22" s="54" t="n"/>
      <c r="M22" s="54" t="n"/>
      <c r="N22" s="54" t="n"/>
      <c r="O22" s="54" t="n"/>
      <c r="P22" s="54" t="n"/>
      <c r="Q22" s="35" t="n"/>
      <c r="R22" s="35" t="n"/>
      <c r="S22" s="35" t="n"/>
      <c r="T22" s="35" t="n"/>
      <c r="U22" s="35" t="n"/>
      <c r="V22" s="35" t="n"/>
      <c r="W22" s="54" t="n"/>
      <c r="X22" s="54" t="n"/>
      <c r="Y22" s="54" t="n"/>
      <c r="Z22" s="54" t="n"/>
      <c r="AA22" s="54" t="n"/>
      <c r="AB22" s="54" t="n"/>
      <c r="AC22" s="54" t="n"/>
      <c r="AD22" s="54" t="n"/>
    </row>
    <row r="23">
      <c r="A23" s="54" t="inlineStr">
        <is>
          <t>KGC</t>
        </is>
      </c>
      <c r="B23" s="2" t="n">
        <v>9.99</v>
      </c>
      <c r="C23" s="37" t="n">
        <v>2.3504</v>
      </c>
      <c r="D23" s="12" t="n">
        <v>0.0386</v>
      </c>
      <c r="E23" s="12" t="n">
        <v>0.3599</v>
      </c>
      <c r="F23" s="12" t="n">
        <v>0.352</v>
      </c>
      <c r="G23" s="12" t="n">
        <v>0.0569</v>
      </c>
      <c r="H23" s="54" t="n"/>
      <c r="I23" s="54" t="n"/>
      <c r="J23" s="54" t="n"/>
      <c r="K23" s="54" t="n"/>
      <c r="L23" s="54" t="n"/>
      <c r="M23" s="54" t="n"/>
      <c r="N23" s="54" t="n"/>
      <c r="O23" s="54" t="n"/>
      <c r="P23" s="54" t="n"/>
      <c r="Q23" s="35" t="n"/>
      <c r="R23" s="35" t="n"/>
      <c r="S23" s="35" t="n"/>
      <c r="T23" s="35" t="n"/>
      <c r="U23" s="35" t="n"/>
      <c r="V23" s="35" t="n"/>
      <c r="W23" s="54" t="n"/>
      <c r="X23" s="54" t="inlineStr">
        <is>
          <t>C</t>
        </is>
      </c>
      <c r="Y23" s="54" t="n"/>
      <c r="Z23" s="54" t="inlineStr">
        <is>
          <t>ni_es_fy_no_ttm</t>
        </is>
      </c>
      <c r="AA23" s="54" t="n"/>
      <c r="AB23" s="54" t="n"/>
      <c r="AC23" s="54" t="n"/>
      <c r="AD23" s="54" t="n"/>
    </row>
    <row r="24">
      <c r="A24" s="54" t="inlineStr">
        <is>
          <t>LFC</t>
        </is>
      </c>
      <c r="B24" s="54" t="n"/>
      <c r="C24" s="33" t="n"/>
      <c r="D24" s="54" t="n"/>
      <c r="E24" s="54" t="n"/>
      <c r="F24" s="54" t="n"/>
      <c r="G24" s="54" t="n"/>
      <c r="H24" s="54" t="n"/>
      <c r="I24" s="54" t="n"/>
      <c r="J24" s="54" t="n"/>
      <c r="K24" s="54" t="n"/>
      <c r="L24" s="54" t="n"/>
      <c r="M24" s="54" t="n"/>
      <c r="N24" s="54" t="n"/>
      <c r="O24" s="54" t="n"/>
      <c r="P24" s="54" t="n"/>
      <c r="Q24" s="35" t="n"/>
      <c r="R24" s="35" t="n"/>
      <c r="S24" s="35" t="n"/>
      <c r="T24" s="35" t="n"/>
      <c r="U24" s="35" t="n"/>
      <c r="V24" s="35" t="n"/>
      <c r="W24" s="54" t="n"/>
      <c r="X24" s="54" t="n"/>
      <c r="Y24" s="54" t="n"/>
      <c r="Z24" s="54" t="n"/>
      <c r="AA24" s="54" t="n"/>
      <c r="AB24" s="54" t="n"/>
      <c r="AC24" s="54" t="n"/>
      <c r="AD24" s="54" t="n"/>
    </row>
    <row r="25">
      <c r="A25" s="54" t="inlineStr">
        <is>
          <t>AMAT</t>
        </is>
      </c>
      <c r="B25" s="2" t="n">
        <v>54.66</v>
      </c>
      <c r="C25" s="37" t="n">
        <v>10.6325</v>
      </c>
      <c r="D25" s="12" t="n">
        <v>0.1676</v>
      </c>
      <c r="E25" s="12" t="n">
        <v>0.2931</v>
      </c>
      <c r="F25" s="12" t="n">
        <v>0.397</v>
      </c>
      <c r="G25" s="12" t="n">
        <v>0.172</v>
      </c>
      <c r="H25" s="54" t="n"/>
      <c r="I25" s="33" t="n">
        <v>55.31</v>
      </c>
      <c r="J25" s="33" t="n">
        <v>8.66</v>
      </c>
      <c r="K25" s="36" t="n">
        <v>10.65</v>
      </c>
      <c r="L25" s="35" t="n">
        <v>0.1718</v>
      </c>
      <c r="M25" s="35" t="n">
        <v>0.2931</v>
      </c>
      <c r="N25" s="35" t="n">
        <v>0.3969</v>
      </c>
      <c r="O25" s="35" t="n">
        <v>0.172</v>
      </c>
      <c r="P25" s="54" t="n"/>
      <c r="Q25" s="35">
        <f>ABS(B25-I25)/B25</f>
        <v/>
      </c>
      <c r="R25" s="35">
        <f>ABS(C25-J25)/C25</f>
        <v/>
      </c>
      <c r="S25" s="35">
        <f>ABS(D25-L25)/D25</f>
        <v/>
      </c>
      <c r="T25" s="35">
        <f>ABS(E25-M25)/E25</f>
        <v/>
      </c>
      <c r="U25" s="35">
        <f>ABS(F25-N25)/F25</f>
        <v/>
      </c>
      <c r="V25" s="35">
        <f>ABS(G25-O25)/G25</f>
        <v/>
      </c>
      <c r="W25" s="54" t="n"/>
      <c r="X25" s="54" t="inlineStr">
        <is>
          <t>B</t>
        </is>
      </c>
      <c r="Y25" s="54" t="n"/>
      <c r="Z25" s="54" t="n"/>
      <c r="AA25" s="54" t="n"/>
      <c r="AB25" s="54" t="n"/>
      <c r="AC25" s="54" t="n"/>
      <c r="AD25" s="54" t="n"/>
    </row>
    <row r="26">
      <c r="A26" s="54" t="inlineStr">
        <is>
          <t>CEO</t>
        </is>
      </c>
      <c r="B26" s="2" t="n">
        <v>44.78</v>
      </c>
      <c r="C26" s="37" t="n">
        <v>337.2007</v>
      </c>
      <c r="F26" s="12" t="n">
        <v>0.032</v>
      </c>
      <c r="H26" s="54" t="n"/>
      <c r="I26" s="54" t="n"/>
      <c r="J26" s="54" t="n"/>
      <c r="K26" s="54" t="n"/>
      <c r="L26" s="54" t="n"/>
      <c r="M26" s="54" t="n"/>
      <c r="N26" s="54" t="n"/>
      <c r="O26" s="54" t="n"/>
      <c r="P26" s="54" t="n"/>
      <c r="Q26" s="35" t="n"/>
      <c r="R26" s="35" t="n"/>
      <c r="S26" s="35" t="n"/>
      <c r="T26" s="35" t="n"/>
      <c r="U26" s="35" t="n"/>
      <c r="V26" s="35" t="n"/>
      <c r="W26" s="54" t="n"/>
      <c r="X26" s="54" t="n"/>
      <c r="Y26" s="54" t="n"/>
      <c r="Z26" s="54" t="n"/>
      <c r="AA26" s="54" t="n"/>
      <c r="AB26" s="54" t="n"/>
      <c r="AC26" s="54" t="n"/>
      <c r="AD26" s="54" t="n"/>
    </row>
    <row r="27">
      <c r="A27" s="54" t="inlineStr">
        <is>
          <t>JNJ</t>
        </is>
      </c>
      <c r="B27" s="2" t="n">
        <v>27.81</v>
      </c>
      <c r="C27" s="37" t="n">
        <v>8.635400000000001</v>
      </c>
      <c r="D27" s="12" t="n">
        <v>0.0518</v>
      </c>
      <c r="E27" s="12" t="n">
        <v>0.2183</v>
      </c>
      <c r="F27" s="12" t="n">
        <v>0.264</v>
      </c>
      <c r="G27" s="12" t="n">
        <v>0.5952</v>
      </c>
      <c r="H27" s="54" t="n"/>
      <c r="I27" s="33" t="n">
        <v>28.01</v>
      </c>
      <c r="J27" s="33" t="n">
        <v>11.03</v>
      </c>
      <c r="K27" s="36" t="n">
        <v>8.6</v>
      </c>
      <c r="L27" s="35" t="n">
        <v>0.1489</v>
      </c>
      <c r="M27" s="35" t="n">
        <v>0.2183</v>
      </c>
      <c r="N27" s="35" t="n">
        <v>0.2642</v>
      </c>
      <c r="O27" s="54" t="n"/>
      <c r="P27" s="54" t="n"/>
      <c r="Q27" s="35">
        <f>ABS(B27-I27)/B27</f>
        <v/>
      </c>
      <c r="R27" s="35">
        <f>ABS(C27-J27)/C27</f>
        <v/>
      </c>
      <c r="S27" s="35">
        <f>ABS(D27-L27)/D27</f>
        <v/>
      </c>
      <c r="T27" s="35">
        <f>ABS(E27-M27)/E27</f>
        <v/>
      </c>
      <c r="U27" s="35">
        <f>ABS(F27-N27)/F27</f>
        <v/>
      </c>
      <c r="V27" s="35">
        <f>ABS(G27-O27)/G27</f>
        <v/>
      </c>
      <c r="W27" s="54" t="n"/>
      <c r="X27" s="54" t="inlineStr">
        <is>
          <t>B</t>
        </is>
      </c>
      <c r="Y27" s="54" t="n"/>
      <c r="Z27" s="54" t="n"/>
      <c r="AA27" s="54" t="n"/>
      <c r="AB27" s="54" t="n"/>
      <c r="AC27" s="54" t="n"/>
      <c r="AD27" s="54" t="n"/>
    </row>
    <row r="28">
      <c r="A28" s="54" t="inlineStr">
        <is>
          <t>BIIB</t>
        </is>
      </c>
      <c r="B28" s="2" t="n">
        <v>21.69</v>
      </c>
      <c r="C28" s="37" t="n">
        <v>8.83</v>
      </c>
      <c r="D28" s="2" t="n">
        <v>-18.73</v>
      </c>
      <c r="E28" s="12" t="n">
        <v>0.1381</v>
      </c>
      <c r="F28" s="12" t="n">
        <v>0.077</v>
      </c>
      <c r="G28" s="12" t="n">
        <v>0.477</v>
      </c>
      <c r="H28" s="54" t="n"/>
      <c r="I28" s="33" t="n">
        <v>21.59</v>
      </c>
      <c r="J28" s="36" t="n">
        <v>8.789999999999999</v>
      </c>
      <c r="K28" s="33" t="n">
        <v>9.24</v>
      </c>
      <c r="L28" s="35" t="n">
        <v>-0.1873</v>
      </c>
      <c r="M28" s="35" t="n">
        <v>0.1381</v>
      </c>
      <c r="N28" s="35" t="n">
        <v>0.0973</v>
      </c>
      <c r="O28" s="54" t="n"/>
      <c r="P28" s="54" t="n"/>
      <c r="Q28" s="35">
        <f>ABS(B28-I28)/B28</f>
        <v/>
      </c>
      <c r="R28" s="35">
        <f>ABS(C28-J28)/C28</f>
        <v/>
      </c>
      <c r="S28" s="35">
        <f>ABS(D28-L28)/D28</f>
        <v/>
      </c>
      <c r="T28" s="35">
        <f>ABS(E28-M28)/E28</f>
        <v/>
      </c>
      <c r="U28" s="35">
        <f>ABS(F28-N28)/F28</f>
        <v/>
      </c>
      <c r="V28" s="35">
        <f>ABS(G28-O28)/G28</f>
        <v/>
      </c>
      <c r="W28" s="54" t="n"/>
      <c r="X28" s="54" t="inlineStr">
        <is>
          <t>B</t>
        </is>
      </c>
      <c r="Y28" s="54" t="n"/>
      <c r="Z28" s="54" t="n"/>
      <c r="AA28" s="54" t="n"/>
      <c r="AB28" s="54" t="n"/>
      <c r="AC28" s="54" t="n"/>
      <c r="AD28" s="54" t="n"/>
    </row>
    <row r="29">
      <c r="A29" s="54" t="inlineStr">
        <is>
          <t>LMT</t>
        </is>
      </c>
      <c r="B29" s="2" t="n">
        <v>24.01</v>
      </c>
      <c r="C29" s="37" t="n">
        <v>20.6204</v>
      </c>
      <c r="D29" s="12" t="n">
        <v>0.0619</v>
      </c>
      <c r="E29" s="12" t="n">
        <v>0.0638</v>
      </c>
      <c r="F29" s="12" t="n">
        <v>0.676</v>
      </c>
      <c r="G29" s="12" t="n">
        <v>0.6574</v>
      </c>
      <c r="H29" s="54" t="n"/>
      <c r="I29" s="33" t="n">
        <v>23.7</v>
      </c>
      <c r="J29" s="33" t="n">
        <v>21.49</v>
      </c>
      <c r="K29" s="36" t="n">
        <v>20.74</v>
      </c>
      <c r="L29" s="35" t="n">
        <v>-0.0243</v>
      </c>
      <c r="M29" s="35" t="n">
        <v>0.0638</v>
      </c>
      <c r="N29" s="35" t="n">
        <v>0.6764</v>
      </c>
      <c r="O29" s="35" t="n">
        <v>0.6574</v>
      </c>
      <c r="P29" s="54" t="n"/>
      <c r="Q29" s="35">
        <f>ABS(B29-I29)/B29</f>
        <v/>
      </c>
      <c r="R29" s="35">
        <f>ABS(C29-J29)/C29</f>
        <v/>
      </c>
      <c r="S29" s="35">
        <f>ABS(D29-L29)/D29</f>
        <v/>
      </c>
      <c r="T29" s="35">
        <f>ABS(E29-M29)/E29</f>
        <v/>
      </c>
      <c r="U29" s="35">
        <f>ABS(F29-N29)/F29</f>
        <v/>
      </c>
      <c r="V29" s="35">
        <f>ABS(G29-O29)/G29</f>
        <v/>
      </c>
      <c r="W29" s="54" t="n"/>
      <c r="X29" s="54" t="inlineStr">
        <is>
          <t>B</t>
        </is>
      </c>
      <c r="Y29" s="54" t="n"/>
      <c r="Z29" s="54" t="n"/>
      <c r="AA29" s="54" t="n"/>
      <c r="AB29" s="54" t="n"/>
      <c r="AC29" s="54" t="n"/>
      <c r="AD29" s="54" t="n"/>
    </row>
    <row r="30">
      <c r="A30" s="54" t="inlineStr">
        <is>
          <t>BHP</t>
        </is>
      </c>
      <c r="B30" s="2" t="n">
        <v>19.87</v>
      </c>
      <c r="C30" s="37" t="n">
        <v>2.0131</v>
      </c>
      <c r="D30" s="12" t="n">
        <v>0.0314</v>
      </c>
      <c r="E30" s="12" t="n">
        <v>0.1897</v>
      </c>
      <c r="F30" s="12" t="n">
        <v>0.214</v>
      </c>
      <c r="G30" s="12" t="n">
        <v>0.5485</v>
      </c>
      <c r="H30" s="54" t="n"/>
      <c r="I30" s="54" t="n"/>
      <c r="J30" s="54" t="n"/>
      <c r="K30" s="54" t="n"/>
      <c r="L30" s="54" t="n"/>
      <c r="M30" s="54" t="n"/>
      <c r="N30" s="54" t="n"/>
      <c r="O30" s="54" t="n"/>
      <c r="P30" s="54" t="n"/>
      <c r="Q30" s="35" t="n"/>
      <c r="R30" s="35" t="n"/>
      <c r="S30" s="35" t="n"/>
      <c r="T30" s="35" t="n"/>
      <c r="U30" s="35" t="n"/>
      <c r="V30" s="35" t="n"/>
      <c r="W30" s="54" t="n"/>
      <c r="X30" s="54" t="inlineStr">
        <is>
          <t>C</t>
        </is>
      </c>
      <c r="Y30" s="54" t="n"/>
      <c r="Z30" s="54" t="inlineStr">
        <is>
          <t>ni_es_fy_no_ttm</t>
        </is>
      </c>
      <c r="AA30" s="54" t="n"/>
      <c r="AB30" s="54" t="n"/>
      <c r="AC30" s="54" t="n"/>
      <c r="AD30" s="54" t="n"/>
    </row>
    <row r="31">
      <c r="A31" s="54" t="inlineStr">
        <is>
          <t>EBAY</t>
        </is>
      </c>
      <c r="B31" s="2" t="n">
        <v>25.45</v>
      </c>
      <c r="C31" s="37" t="n">
        <v>4.3296</v>
      </c>
      <c r="D31" s="12" t="n">
        <v>0.1232</v>
      </c>
      <c r="E31" s="12" t="n">
        <v>0.1761</v>
      </c>
      <c r="F31" s="12" t="n">
        <v>0.429</v>
      </c>
      <c r="G31" s="12" t="n">
        <v>0.2622</v>
      </c>
      <c r="H31" s="54" t="n"/>
      <c r="I31" s="33" t="n">
        <v>24.47</v>
      </c>
      <c r="J31" s="36" t="n">
        <v>4.34</v>
      </c>
      <c r="K31" s="33" t="n">
        <v>4.47</v>
      </c>
      <c r="L31" s="35" t="n">
        <v>-0.1127</v>
      </c>
      <c r="M31" s="35" t="n">
        <v>0.1761</v>
      </c>
      <c r="N31" s="35" t="n">
        <v>0.4424</v>
      </c>
      <c r="O31" s="35" t="n">
        <v>0.2622</v>
      </c>
      <c r="P31" s="54" t="n"/>
      <c r="Q31" s="35">
        <f>ABS(B31-I31)/B31</f>
        <v/>
      </c>
      <c r="R31" s="35">
        <f>ABS(C31-J31)/C31</f>
        <v/>
      </c>
      <c r="S31" s="35">
        <f>ABS(D31-L31)/D31</f>
        <v/>
      </c>
      <c r="T31" s="35">
        <f>ABS(E31-M31)/E31</f>
        <v/>
      </c>
      <c r="U31" s="35">
        <f>ABS(F31-N31)/F31</f>
        <v/>
      </c>
      <c r="V31" s="35">
        <f>ABS(G31-O31)/G31</f>
        <v/>
      </c>
      <c r="W31" s="54" t="n"/>
      <c r="X31" s="54" t="inlineStr">
        <is>
          <t>B</t>
        </is>
      </c>
      <c r="Y31" s="54" t="n"/>
      <c r="Z31" s="54" t="n"/>
      <c r="AA31" s="54" t="n"/>
      <c r="AB31" s="54" t="n"/>
      <c r="AC31" s="54" t="n"/>
      <c r="AD31" s="54" t="n"/>
    </row>
    <row r="32">
      <c r="A32" s="54" t="inlineStr">
        <is>
          <t>NEM</t>
        </is>
      </c>
      <c r="B32" s="2" t="n">
        <v>12.18</v>
      </c>
      <c r="C32" s="37" t="n">
        <v>7.6938</v>
      </c>
      <c r="D32" s="12" t="n">
        <v>0.1023</v>
      </c>
      <c r="E32" s="12" t="n">
        <v>0.3387</v>
      </c>
      <c r="F32" s="12" t="n">
        <v>0.256</v>
      </c>
      <c r="G32" s="12" t="n">
        <v>0.138</v>
      </c>
      <c r="H32" s="54" t="n"/>
      <c r="I32" s="33" t="n">
        <v>12.09</v>
      </c>
      <c r="J32" s="33" t="n">
        <v>6.39</v>
      </c>
      <c r="K32" s="36" t="n">
        <v>7.78</v>
      </c>
      <c r="L32" s="35" t="n">
        <v>0.1273</v>
      </c>
      <c r="M32" s="35" t="n">
        <v>0.3387</v>
      </c>
      <c r="N32" s="35" t="n">
        <v>0.2556</v>
      </c>
      <c r="O32" s="35" t="n">
        <v>0.1308</v>
      </c>
      <c r="P32" s="54" t="n"/>
      <c r="Q32" s="35">
        <f>ABS(B32-I32)/B32</f>
        <v/>
      </c>
      <c r="R32" s="35">
        <f>ABS(C32-J32)/C32</f>
        <v/>
      </c>
      <c r="S32" s="35">
        <f>ABS(D32-L32)/D32</f>
        <v/>
      </c>
      <c r="T32" s="35">
        <f>ABS(E32-M32)/E32</f>
        <v/>
      </c>
      <c r="U32" s="35">
        <f>ABS(F32-N32)/F32</f>
        <v/>
      </c>
      <c r="V32" s="35">
        <f>ABS(G32-O32)/G32</f>
        <v/>
      </c>
      <c r="W32" s="54" t="n"/>
      <c r="X32" s="54" t="inlineStr">
        <is>
          <t>B</t>
        </is>
      </c>
      <c r="Y32" s="54" t="n"/>
      <c r="Z32" s="54" t="n"/>
      <c r="AA32" s="54" t="n"/>
      <c r="AB32" s="54" t="n"/>
      <c r="AC32" s="54" t="n"/>
      <c r="AD32" s="54" t="n"/>
    </row>
    <row r="33">
      <c r="A33" s="54" t="inlineStr">
        <is>
          <t>ERIC</t>
        </is>
      </c>
      <c r="B33" s="2" t="n">
        <v>10.96</v>
      </c>
      <c r="C33" s="37" t="n">
        <v>7.5391</v>
      </c>
      <c r="D33" s="12" t="n">
        <v>0.08450000000000001</v>
      </c>
      <c r="E33" s="12" t="n">
        <v>0.109</v>
      </c>
      <c r="F33" s="12" t="n">
        <v>0.267</v>
      </c>
      <c r="G33" s="12" t="n">
        <v>0.3374</v>
      </c>
      <c r="H33" s="54" t="n"/>
      <c r="I33" s="54" t="n"/>
      <c r="J33" s="54" t="n"/>
      <c r="K33" s="54" t="n"/>
      <c r="L33" s="54" t="n"/>
      <c r="M33" s="54" t="n"/>
      <c r="N33" s="54" t="n"/>
      <c r="O33" s="54" t="n"/>
      <c r="P33" s="54" t="n"/>
      <c r="Q33" s="35" t="n"/>
      <c r="R33" s="35" t="n"/>
      <c r="S33" s="35" t="n"/>
      <c r="T33" s="35" t="n"/>
      <c r="U33" s="35" t="n"/>
      <c r="V33" s="35" t="n"/>
      <c r="W33" s="54" t="n"/>
      <c r="X33" s="54" t="n"/>
      <c r="Y33" s="54" t="n"/>
      <c r="Z33" s="54" t="n"/>
      <c r="AA33" s="54" t="n"/>
      <c r="AB33" s="54" t="n"/>
      <c r="AC33" s="54" t="n"/>
      <c r="AD33" s="54" t="n"/>
    </row>
    <row r="34">
      <c r="A34" s="54" t="inlineStr">
        <is>
          <t>PG</t>
        </is>
      </c>
      <c r="B34" s="2" t="n">
        <v>22.33</v>
      </c>
      <c r="C34" s="37" t="n">
        <v>6.8376</v>
      </c>
      <c r="D34" s="12" t="n">
        <v>0.0597</v>
      </c>
      <c r="E34" s="12" t="n">
        <v>0.1916</v>
      </c>
      <c r="F34" s="16" t="n">
        <v>0.31</v>
      </c>
      <c r="G34" s="12" t="n">
        <v>0.6124000000000001</v>
      </c>
      <c r="H34" s="54" t="n"/>
      <c r="I34" s="33" t="n">
        <v>22.2</v>
      </c>
      <c r="J34" s="33" t="n">
        <v>6.51</v>
      </c>
      <c r="K34" s="36" t="n">
        <v>6.85</v>
      </c>
      <c r="L34" s="35" t="n">
        <v>0.0559</v>
      </c>
      <c r="M34" s="35" t="n">
        <v>0.1916</v>
      </c>
      <c r="N34" s="54" t="n"/>
      <c r="O34" s="35" t="n">
        <v>0.6124000000000001</v>
      </c>
      <c r="P34" s="54" t="n"/>
      <c r="Q34" s="35">
        <f>ABS(B34-I34)/B34</f>
        <v/>
      </c>
      <c r="R34" s="35">
        <f>ABS(C34-J34)/C34</f>
        <v/>
      </c>
      <c r="S34" s="35">
        <f>ABS(D34-L34)/D34</f>
        <v/>
      </c>
      <c r="T34" s="35">
        <f>ABS(E34-M34)/E34</f>
        <v/>
      </c>
      <c r="U34" s="35">
        <f>ABS(F34-N34)/F34</f>
        <v/>
      </c>
      <c r="V34" s="35">
        <f>ABS(G34-O34)/G34</f>
        <v/>
      </c>
      <c r="W34" s="54" t="n"/>
      <c r="X34" s="54" t="inlineStr">
        <is>
          <t>B</t>
        </is>
      </c>
      <c r="Y34" s="54" t="n"/>
      <c r="Z34" s="54" t="n"/>
      <c r="AA34" s="54" t="n"/>
      <c r="AB34" s="54" t="n"/>
      <c r="AC34" s="54" t="n"/>
      <c r="AD34" s="54" t="n"/>
    </row>
    <row r="35">
      <c r="A35" s="54" t="inlineStr">
        <is>
          <t>SNA</t>
        </is>
      </c>
      <c r="B35" s="2" t="n">
        <v>20.34</v>
      </c>
      <c r="C35" s="37" t="n">
        <v>19.19</v>
      </c>
      <c r="D35" s="12" t="n">
        <v>0.109</v>
      </c>
      <c r="E35" s="12" t="n">
        <v>0.196</v>
      </c>
      <c r="F35" s="16" t="n">
        <v>0.182</v>
      </c>
      <c r="G35" s="12" t="n">
        <v>0.4659</v>
      </c>
      <c r="H35" s="54" t="n"/>
      <c r="I35" s="33" t="n">
        <v>20.19</v>
      </c>
      <c r="J35" s="36" t="n">
        <v>19.19</v>
      </c>
      <c r="K35" s="33" t="n">
        <v>19.42</v>
      </c>
      <c r="L35" s="35" t="n">
        <v>0.109</v>
      </c>
      <c r="M35" s="35" t="n">
        <v>0.196</v>
      </c>
      <c r="N35" s="35" t="n">
        <v>0.1783</v>
      </c>
      <c r="O35" s="35" t="n">
        <v>0.4659</v>
      </c>
      <c r="P35" s="54" t="n"/>
      <c r="Q35" s="35">
        <f>ABS(B35-I35)/B35</f>
        <v/>
      </c>
      <c r="R35" s="35">
        <f>ABS(C35-J35)/C35</f>
        <v/>
      </c>
      <c r="S35" s="35">
        <f>ABS(D35-L35)/D35</f>
        <v/>
      </c>
      <c r="T35" s="35">
        <f>ABS(E35-M35)/E35</f>
        <v/>
      </c>
      <c r="U35" s="35">
        <f>ABS(F35-N35)/F35</f>
        <v/>
      </c>
      <c r="V35" s="35">
        <f>ABS(G35-O35)/G35</f>
        <v/>
      </c>
      <c r="W35" s="54" t="n"/>
      <c r="X35" s="54" t="inlineStr">
        <is>
          <t>B</t>
        </is>
      </c>
      <c r="Y35" s="54" t="n"/>
      <c r="Z35" s="54" t="n"/>
      <c r="AA35" s="54" t="n"/>
      <c r="AB35" s="54" t="n"/>
      <c r="AC35" s="54" t="n"/>
      <c r="AD35" s="54" t="n"/>
    </row>
    <row r="36">
      <c r="A36" s="39" t="inlineStr">
        <is>
          <t>CL</t>
        </is>
      </c>
      <c r="B36" s="19" t="n">
        <v>36</v>
      </c>
      <c r="C36" s="19" t="n">
        <v>2.63</v>
      </c>
      <c r="D36" s="20" t="n">
        <v>-0.0348</v>
      </c>
      <c r="E36" s="20" t="n">
        <v>0.1004</v>
      </c>
      <c r="F36" s="20" t="n">
        <v>3.6358</v>
      </c>
      <c r="G36" s="20" t="n">
        <v>0.8784</v>
      </c>
      <c r="H36" s="54" t="n"/>
      <c r="I36" s="33" t="n">
        <v>35.43</v>
      </c>
      <c r="J36" s="36" t="n">
        <v>2.63</v>
      </c>
      <c r="K36" s="33" t="n">
        <v>2.59</v>
      </c>
      <c r="L36" s="35" t="n">
        <v>-0.0348</v>
      </c>
      <c r="M36" s="35" t="n">
        <v>0.1004</v>
      </c>
      <c r="N36" s="35" t="n">
        <v>8.220499999999999</v>
      </c>
      <c r="O36" s="54" t="n"/>
      <c r="P36" s="54" t="n"/>
      <c r="Q36" s="35">
        <f>ABS(B36-I36)/B36</f>
        <v/>
      </c>
      <c r="R36" s="35">
        <f>ABS(C36-J36)/C36</f>
        <v/>
      </c>
      <c r="S36" s="35">
        <f>ABS(D36-L36)/D36</f>
        <v/>
      </c>
      <c r="T36" s="35">
        <f>ABS(E36-M36)/E36</f>
        <v/>
      </c>
      <c r="U36" s="35">
        <f>ABS(F36-N36)/F36</f>
        <v/>
      </c>
      <c r="V36" s="35">
        <f>ABS(G36-O36)/G36</f>
        <v/>
      </c>
      <c r="W36" s="54" t="n"/>
      <c r="X36" s="54" t="inlineStr">
        <is>
          <t>B</t>
        </is>
      </c>
      <c r="Y36" s="54" t="n"/>
      <c r="Z36" s="54" t="inlineStr">
        <is>
          <t>roe_no_significativo</t>
        </is>
      </c>
      <c r="AA36" s="54" t="n"/>
      <c r="AB36" s="54" t="n"/>
      <c r="AC36" s="54" t="n"/>
      <c r="AD36" s="54" t="n"/>
    </row>
    <row r="37">
      <c r="A37" s="54" t="inlineStr">
        <is>
          <t>ELP</t>
        </is>
      </c>
      <c r="B37" s="54" t="n"/>
      <c r="C37" s="33" t="n"/>
      <c r="D37" s="54" t="n"/>
      <c r="E37" s="54" t="n"/>
      <c r="F37" s="54" t="n"/>
      <c r="G37" s="54" t="n"/>
      <c r="H37" s="54" t="n"/>
      <c r="I37" s="54" t="n"/>
      <c r="J37" s="54" t="n"/>
      <c r="K37" s="54" t="n"/>
      <c r="L37" s="54" t="n"/>
      <c r="M37" s="54" t="n"/>
      <c r="N37" s="54" t="n"/>
      <c r="O37" s="54" t="n"/>
      <c r="P37" s="54" t="n"/>
      <c r="Q37" s="35" t="n"/>
      <c r="R37" s="35" t="n"/>
      <c r="S37" s="35" t="n"/>
      <c r="T37" s="35" t="n"/>
      <c r="U37" s="35" t="n"/>
      <c r="V37" s="35" t="n"/>
      <c r="W37" s="54" t="n"/>
      <c r="X37" s="54" t="n"/>
      <c r="Y37" s="54" t="n"/>
      <c r="Z37" s="54" t="n"/>
      <c r="AA37" s="54" t="n"/>
      <c r="AB37" s="54" t="n"/>
      <c r="AC37" s="54" t="n"/>
      <c r="AD37" s="54" t="n"/>
    </row>
    <row r="38">
      <c r="A38" s="54" t="inlineStr">
        <is>
          <t>HPQ</t>
        </is>
      </c>
      <c r="B38" s="2" t="n">
        <v>8.619999999999999</v>
      </c>
      <c r="C38" s="37" t="n">
        <v>2.65</v>
      </c>
      <c r="D38" s="12" t="n">
        <v>0.0579</v>
      </c>
      <c r="E38" s="12" t="n">
        <v>0.0445</v>
      </c>
      <c r="F38" s="12" t="n">
        <v>-3.5958</v>
      </c>
      <c r="G38" s="12" t="n">
        <v>0.4281</v>
      </c>
      <c r="H38" s="54" t="n"/>
      <c r="I38" s="33" t="n">
        <v>8.470000000000001</v>
      </c>
      <c r="J38" s="36" t="n">
        <v>2.65</v>
      </c>
      <c r="K38" s="33" t="n">
        <v>2.75</v>
      </c>
      <c r="L38" s="35" t="n">
        <v>0.06</v>
      </c>
      <c r="M38" s="35" t="n">
        <v>0.0445</v>
      </c>
      <c r="N38" s="54" t="n"/>
      <c r="O38" s="35" t="n">
        <v>0.4281</v>
      </c>
      <c r="P38" s="54" t="n"/>
      <c r="Q38" s="35">
        <f>ABS(B38-I38)/B38</f>
        <v/>
      </c>
      <c r="R38" s="35">
        <f>ABS(C38-J38)/C38</f>
        <v/>
      </c>
      <c r="S38" s="35">
        <f>ABS(D38-L38)/D38</f>
        <v/>
      </c>
      <c r="T38" s="35">
        <f>ABS(E38-M38)/E38</f>
        <v/>
      </c>
      <c r="U38" s="35">
        <f>ABS(F38-N38)/F38</f>
        <v/>
      </c>
      <c r="V38" s="35">
        <f>ABS(G38-O38)/G38</f>
        <v/>
      </c>
      <c r="W38" s="54" t="n"/>
      <c r="X38" s="54" t="inlineStr">
        <is>
          <t>B</t>
        </is>
      </c>
      <c r="Y38" s="54" t="n"/>
      <c r="Z38" s="54" t="n"/>
      <c r="AA38" s="54" t="n"/>
      <c r="AB38" s="54" t="n"/>
      <c r="AC38" s="54" t="n"/>
      <c r="AD38" s="54" t="n"/>
    </row>
    <row r="39">
      <c r="A39" s="54" t="inlineStr">
        <is>
          <t>KMB</t>
        </is>
      </c>
      <c r="B39" s="2" t="n">
        <v>20.8</v>
      </c>
      <c r="C39" s="37" t="n">
        <v>4.86</v>
      </c>
      <c r="D39" s="12" t="n">
        <v>-0.0669</v>
      </c>
      <c r="E39" s="12" t="n">
        <v>0.128</v>
      </c>
      <c r="F39" s="12" t="n">
        <v>1.1173</v>
      </c>
      <c r="G39" s="12" t="n">
        <v>0.7895</v>
      </c>
      <c r="H39" s="54" t="n"/>
      <c r="I39" s="33" t="n">
        <v>16.78</v>
      </c>
      <c r="J39" s="33" t="n">
        <v>6.07</v>
      </c>
      <c r="K39" s="33" t="n">
        <v>6.36</v>
      </c>
      <c r="L39" s="35" t="n">
        <v>-0.0245</v>
      </c>
      <c r="M39" s="35" t="n">
        <v>0.128</v>
      </c>
      <c r="N39" s="35" t="n">
        <v>1.4629</v>
      </c>
      <c r="O39" s="35" t="n">
        <v>0.7895</v>
      </c>
      <c r="P39" s="54" t="n"/>
      <c r="Q39" s="35">
        <f>ABS(B39-I39)/B39</f>
        <v/>
      </c>
      <c r="R39" s="35">
        <f>ABS(C39-J39)/C39</f>
        <v/>
      </c>
      <c r="S39" s="35">
        <f>ABS(D39-L39)/D39</f>
        <v/>
      </c>
      <c r="T39" s="35">
        <f>ABS(E39-M39)/E39</f>
        <v/>
      </c>
      <c r="U39" s="35">
        <f>ABS(F39-N39)/F39</f>
        <v/>
      </c>
      <c r="V39" s="35">
        <f>ABS(G39-O39)/G39</f>
        <v/>
      </c>
      <c r="W39" s="54" t="n"/>
      <c r="X39" s="54" t="inlineStr">
        <is>
          <t>A</t>
        </is>
      </c>
      <c r="Y39" s="54" t="n"/>
      <c r="Z39" s="54" t="n"/>
      <c r="AA39" s="54" t="n"/>
      <c r="AB39" s="54" t="n"/>
      <c r="AC39" s="54" t="n"/>
      <c r="AD39" s="54" t="n"/>
    </row>
    <row r="40">
      <c r="A40" s="54" t="inlineStr">
        <is>
          <t>TX</t>
        </is>
      </c>
      <c r="B40" s="2" t="n">
        <v>15.66</v>
      </c>
      <c r="C40" s="37" t="n">
        <v>2.17</v>
      </c>
      <c r="D40" s="12" t="n">
        <v>-0.1139</v>
      </c>
      <c r="E40" s="12" t="n">
        <v>0.0366</v>
      </c>
      <c r="F40" s="12" t="n">
        <v>0.0323</v>
      </c>
      <c r="G40" s="12" t="n">
        <v>0.9278</v>
      </c>
      <c r="H40" s="54" t="n"/>
      <c r="I40" s="54" t="n"/>
      <c r="J40" s="54" t="n"/>
      <c r="K40" s="54" t="n"/>
      <c r="L40" s="54" t="n"/>
      <c r="M40" s="54" t="n"/>
      <c r="N40" s="54" t="n"/>
      <c r="O40" s="54" t="n"/>
      <c r="P40" s="54" t="n"/>
      <c r="Q40" s="35" t="n"/>
      <c r="R40" s="35" t="n"/>
      <c r="S40" s="35" t="n"/>
      <c r="T40" s="35" t="n"/>
      <c r="U40" s="35" t="n"/>
      <c r="V40" s="35" t="n"/>
      <c r="W40" s="54" t="n"/>
      <c r="X40" s="54" t="inlineStr">
        <is>
          <t>C</t>
        </is>
      </c>
      <c r="Y40" s="54" t="n"/>
      <c r="Z40" s="54" t="inlineStr">
        <is>
          <t>ni_es_fy_no_ttm</t>
        </is>
      </c>
      <c r="AA40" s="54" t="n"/>
      <c r="AB40" s="54" t="n"/>
      <c r="AC40" s="54" t="n"/>
      <c r="AD40" s="54" t="n"/>
    </row>
    <row r="41">
      <c r="A41" s="54" t="inlineStr">
        <is>
          <t>MBT</t>
        </is>
      </c>
      <c r="C41" s="37" t="n"/>
      <c r="H41" s="54" t="n"/>
      <c r="I41" s="54" t="n"/>
      <c r="J41" s="54" t="n"/>
      <c r="K41" s="54" t="n"/>
      <c r="L41" s="54" t="n"/>
      <c r="M41" s="54" t="n"/>
      <c r="N41" s="54" t="n"/>
      <c r="O41" s="54" t="n"/>
      <c r="P41" s="54" t="n"/>
      <c r="Q41" s="35" t="n"/>
      <c r="R41" s="35" t="n"/>
      <c r="S41" s="35" t="n"/>
      <c r="T41" s="35" t="n"/>
      <c r="U41" s="35" t="n"/>
      <c r="V41" s="35" t="n"/>
      <c r="W41" s="54" t="n"/>
      <c r="X41" s="54" t="n"/>
      <c r="Y41" s="54" t="n"/>
      <c r="Z41" s="54" t="n"/>
      <c r="AA41" s="54" t="n"/>
      <c r="AB41" s="54" t="n"/>
      <c r="AC41" s="54" t="n"/>
      <c r="AD41" s="54" t="n"/>
    </row>
    <row r="42">
      <c r="A42" s="54" t="inlineStr">
        <is>
          <t>WMT</t>
        </is>
      </c>
      <c r="B42" s="2" t="n">
        <v>42.1</v>
      </c>
      <c r="C42" s="37" t="n">
        <v>2.73</v>
      </c>
      <c r="D42" s="12" t="n">
        <v>0.1151</v>
      </c>
      <c r="E42" s="12" t="n">
        <v>0.0313</v>
      </c>
      <c r="F42" s="12" t="n">
        <v>0.2413</v>
      </c>
      <c r="G42" s="12" t="n">
        <v>0.3342</v>
      </c>
      <c r="H42" s="54" t="n"/>
      <c r="I42" s="33" t="n">
        <v>41.87</v>
      </c>
      <c r="J42" s="36" t="n">
        <v>2.73</v>
      </c>
      <c r="K42" s="33" t="n">
        <v>2.84</v>
      </c>
      <c r="L42" s="35" t="n">
        <v>-0.1049</v>
      </c>
      <c r="M42" s="35" t="n">
        <v>0.0313</v>
      </c>
      <c r="N42" s="35" t="n">
        <v>0.2553</v>
      </c>
      <c r="O42" s="35" t="n">
        <v>0.3342</v>
      </c>
      <c r="P42" s="54" t="n"/>
      <c r="Q42" s="35">
        <f>ABS(B42-I42)/B42</f>
        <v/>
      </c>
      <c r="R42" s="35">
        <f>ABS(C42-J42)/C42</f>
        <v/>
      </c>
      <c r="S42" s="35">
        <f>ABS(D42-L42)/D42</f>
        <v/>
      </c>
      <c r="T42" s="35">
        <f>ABS(E42-M42)/E42</f>
        <v/>
      </c>
      <c r="U42" s="35">
        <f>ABS(F42-N42)/F42</f>
        <v/>
      </c>
      <c r="V42" s="35">
        <f>ABS(G42-O42)/G42</f>
        <v/>
      </c>
      <c r="W42" s="54" t="n"/>
      <c r="X42" s="54" t="inlineStr">
        <is>
          <t>B</t>
        </is>
      </c>
      <c r="Y42" s="54" t="n"/>
      <c r="Z42" s="54" t="n"/>
      <c r="AA42" s="54" t="n"/>
      <c r="AB42" s="54" t="n"/>
      <c r="AC42" s="54" t="n"/>
      <c r="AD42" s="54" t="n"/>
    </row>
    <row r="43">
      <c r="A43" s="54" t="inlineStr">
        <is>
          <t>HD</t>
        </is>
      </c>
      <c r="B43" s="2" t="n">
        <v>24.14</v>
      </c>
      <c r="C43" s="37" t="n">
        <v>14.23</v>
      </c>
      <c r="D43" s="12" t="n">
        <v>0.0357</v>
      </c>
      <c r="E43" s="12" t="n">
        <v>0.08409999999999999</v>
      </c>
      <c r="F43" s="12" t="n">
        <v>1.2838</v>
      </c>
      <c r="G43" s="12" t="n">
        <v>0.6556</v>
      </c>
      <c r="H43" s="54" t="n"/>
      <c r="I43" s="33" t="n">
        <v>24.37</v>
      </c>
      <c r="J43" s="36" t="n">
        <v>14.23</v>
      </c>
      <c r="K43" s="33" t="n">
        <v>14.07</v>
      </c>
      <c r="L43" s="35" t="n">
        <v>0.0357</v>
      </c>
      <c r="M43" s="35" t="n">
        <v>0.08409999999999999</v>
      </c>
      <c r="N43" s="35" t="n">
        <v>1.2838</v>
      </c>
      <c r="O43" s="35" t="n">
        <v>0.6556</v>
      </c>
      <c r="P43" s="54" t="n"/>
      <c r="Q43" s="35">
        <f>ABS(B43-I43)/B43</f>
        <v/>
      </c>
      <c r="R43" s="35">
        <f>ABS(C43-J43)/C43</f>
        <v/>
      </c>
      <c r="S43" s="35">
        <f>ABS(D43-L43)/D43</f>
        <v/>
      </c>
      <c r="T43" s="35">
        <f>ABS(E43-M43)/E43</f>
        <v/>
      </c>
      <c r="U43" s="35">
        <f>ABS(F43-N43)/F43</f>
        <v/>
      </c>
      <c r="V43" s="35">
        <f>ABS(G43-O43)/G43</f>
        <v/>
      </c>
      <c r="W43" s="54" t="n"/>
      <c r="X43" s="54" t="inlineStr">
        <is>
          <t>B</t>
        </is>
      </c>
      <c r="Y43" s="54" t="n"/>
      <c r="Z43" s="54" t="n"/>
      <c r="AA43" s="54" t="n"/>
      <c r="AB43" s="54" t="n"/>
      <c r="AC43" s="54" t="n"/>
      <c r="AD43" s="54" t="n"/>
    </row>
    <row r="44">
      <c r="A44" s="54" t="inlineStr">
        <is>
          <t>PTR</t>
        </is>
      </c>
      <c r="B44" s="2" t="n"/>
      <c r="C44" s="37" t="n"/>
      <c r="D44" s="12" t="n"/>
      <c r="E44" s="12" t="n"/>
      <c r="F44" s="12" t="n"/>
      <c r="G44" s="12" t="n"/>
      <c r="H44" s="54" t="n"/>
      <c r="I44" s="54" t="n"/>
      <c r="J44" s="54" t="n"/>
      <c r="K44" s="54" t="n"/>
      <c r="L44" s="54" t="n"/>
      <c r="M44" s="54" t="n"/>
      <c r="N44" s="54" t="n"/>
      <c r="O44" s="54" t="n"/>
      <c r="P44" s="54" t="n"/>
      <c r="Q44" s="35" t="n"/>
      <c r="R44" s="35" t="n"/>
      <c r="S44" s="35" t="n"/>
      <c r="T44" s="35" t="n"/>
      <c r="U44" s="35" t="n"/>
      <c r="V44" s="35" t="n"/>
      <c r="W44" s="54" t="n"/>
      <c r="X44" s="54" t="n"/>
      <c r="Y44" s="54" t="n"/>
      <c r="Z44" s="54" t="n"/>
      <c r="AA44" s="54" t="n"/>
      <c r="AB44" s="54" t="n"/>
      <c r="AC44" s="54" t="n"/>
      <c r="AD44" s="54" t="n"/>
    </row>
    <row r="45">
      <c r="A45" s="54" t="inlineStr">
        <is>
          <t>AVY</t>
        </is>
      </c>
      <c r="B45" s="54" t="n"/>
      <c r="C45" s="33" t="n"/>
      <c r="D45" s="54" t="n"/>
      <c r="E45" s="54" t="n"/>
      <c r="F45" s="54" t="n"/>
      <c r="G45" s="54" t="n"/>
      <c r="H45" s="54" t="n"/>
      <c r="I45" s="33" t="n">
        <v>18.21</v>
      </c>
      <c r="J45" s="33" t="n">
        <v>8.789999999999999</v>
      </c>
      <c r="K45" s="33" t="n">
        <v>8.960000000000001</v>
      </c>
      <c r="L45" s="35" t="n">
        <v>0.0587</v>
      </c>
      <c r="M45" s="35" t="n">
        <v>0.0766</v>
      </c>
      <c r="N45" s="35" t="n">
        <v>0.3086</v>
      </c>
      <c r="O45" s="35" t="n">
        <v>0.4223</v>
      </c>
      <c r="P45" s="54" t="n"/>
      <c r="Q45" s="35" t="n"/>
      <c r="R45" s="35" t="n"/>
      <c r="S45" s="35" t="n"/>
      <c r="T45" s="35" t="n"/>
      <c r="U45" s="35" t="n"/>
      <c r="V45" s="35" t="n"/>
      <c r="W45" s="54" t="n"/>
      <c r="X45" s="54" t="inlineStr">
        <is>
          <t>B</t>
        </is>
      </c>
      <c r="Y45" s="54" t="n"/>
      <c r="Z45" s="54" t="n"/>
      <c r="AA45" s="54" t="n"/>
      <c r="AB45" s="54" t="n"/>
      <c r="AC45" s="54" t="n"/>
      <c r="AD45" s="54" t="n"/>
    </row>
    <row r="46">
      <c r="A46" s="54" t="inlineStr">
        <is>
          <t>TGT</t>
        </is>
      </c>
      <c r="B46" s="2" t="n">
        <v>18.31</v>
      </c>
      <c r="C46" s="37" t="n">
        <v>8.130000000000001</v>
      </c>
      <c r="D46" s="12" t="n">
        <v>-0.0121</v>
      </c>
      <c r="E46" s="12" t="n">
        <v>0.0324</v>
      </c>
      <c r="F46" s="12" t="n">
        <v>0.2202</v>
      </c>
      <c r="G46" s="12" t="n">
        <v>0.5968</v>
      </c>
      <c r="H46" s="54" t="n"/>
      <c r="I46" s="33" t="n">
        <v>18.65</v>
      </c>
      <c r="J46" s="36" t="n">
        <v>8.130000000000001</v>
      </c>
      <c r="K46" s="33" t="n">
        <v>7.57</v>
      </c>
      <c r="L46" s="35" t="n">
        <v>-0.0121</v>
      </c>
      <c r="M46" s="35" t="n">
        <v>0.0324</v>
      </c>
      <c r="N46" s="35" t="n">
        <v>0.2202</v>
      </c>
      <c r="O46" s="35" t="n">
        <v>0.5966</v>
      </c>
      <c r="P46" s="54" t="n"/>
      <c r="Q46" s="35">
        <f>ABS(B46-I46)/B46</f>
        <v/>
      </c>
      <c r="R46" s="35">
        <f>ABS(C46-J46)/C46</f>
        <v/>
      </c>
      <c r="S46" s="35">
        <f>ABS(D46-L46)/D46</f>
        <v/>
      </c>
      <c r="T46" s="35">
        <f>ABS(E46-M46)/E46</f>
        <v/>
      </c>
      <c r="U46" s="35">
        <f>ABS(F46-N46)/F46</f>
        <v/>
      </c>
      <c r="V46" s="35">
        <f>ABS(G46-O46)/G46</f>
        <v/>
      </c>
      <c r="W46" s="54" t="n"/>
      <c r="X46" s="54" t="inlineStr">
        <is>
          <t>A</t>
        </is>
      </c>
      <c r="Y46" s="54" t="n"/>
      <c r="Z46" s="54" t="n"/>
      <c r="AA46" s="54" t="n"/>
      <c r="AB46" s="54" t="n"/>
      <c r="AC46" s="54" t="n"/>
      <c r="AD46" s="54" t="n"/>
    </row>
    <row r="47">
      <c r="A47" s="54" t="inlineStr">
        <is>
          <t>NVS</t>
        </is>
      </c>
      <c r="B47" s="2" t="n">
        <v>21.86</v>
      </c>
      <c r="C47" s="37" t="n">
        <v>7.15</v>
      </c>
      <c r="D47" s="12" t="n">
        <v>0.1523</v>
      </c>
      <c r="E47" s="12" t="n">
        <v>0.2392</v>
      </c>
      <c r="F47" s="12" t="n">
        <v>0.3493</v>
      </c>
      <c r="G47" s="12" t="n">
        <v>0.6415</v>
      </c>
      <c r="H47" s="54" t="n"/>
      <c r="I47" s="54" t="n"/>
      <c r="J47" s="54" t="n"/>
      <c r="K47" s="54" t="n"/>
      <c r="L47" s="54" t="n"/>
      <c r="M47" s="54" t="n"/>
      <c r="N47" s="54" t="n"/>
      <c r="O47" s="54" t="n"/>
      <c r="P47" s="54" t="n"/>
      <c r="Q47" s="35" t="n"/>
      <c r="R47" s="35" t="n"/>
      <c r="S47" s="35" t="n"/>
      <c r="T47" s="35" t="n"/>
      <c r="U47" s="35" t="n"/>
      <c r="V47" s="35" t="n"/>
      <c r="W47" s="54" t="n"/>
      <c r="X47" s="54" t="inlineStr">
        <is>
          <t>C</t>
        </is>
      </c>
      <c r="Y47" s="54" t="n"/>
      <c r="Z47" s="54" t="inlineStr">
        <is>
          <t>ni_es_fy_no_ttm</t>
        </is>
      </c>
      <c r="AA47" s="54" t="n"/>
      <c r="AB47" s="54" t="n"/>
      <c r="AC47" s="54" t="n"/>
      <c r="AD47" s="54" t="n"/>
    </row>
    <row r="48">
      <c r="A48" s="54" t="inlineStr">
        <is>
          <t>SAP</t>
        </is>
      </c>
      <c r="B48" s="2" t="n">
        <v>21.61</v>
      </c>
      <c r="C48" s="37" t="n">
        <v>6.1</v>
      </c>
      <c r="D48" s="12" t="n">
        <v>0.07000000000000001</v>
      </c>
      <c r="E48" s="12" t="n">
        <v>0.1958</v>
      </c>
      <c r="F48" s="12" t="n">
        <v>0.1635</v>
      </c>
      <c r="G48" s="12" t="n">
        <v>0.3751</v>
      </c>
      <c r="H48" s="54" t="n"/>
      <c r="I48" s="54" t="n"/>
      <c r="J48" s="54" t="n"/>
      <c r="K48" s="54" t="n"/>
      <c r="L48" s="54" t="n"/>
      <c r="M48" s="54" t="n"/>
      <c r="N48" s="54" t="n"/>
      <c r="O48" s="54" t="n"/>
      <c r="P48" s="54" t="n"/>
      <c r="Q48" s="35" t="n"/>
      <c r="R48" s="35" t="n"/>
      <c r="S48" s="35" t="n"/>
      <c r="T48" s="35" t="n"/>
      <c r="U48" s="35" t="n"/>
      <c r="V48" s="35" t="n"/>
      <c r="W48" s="54" t="n"/>
      <c r="X48" s="54" t="inlineStr">
        <is>
          <t>C</t>
        </is>
      </c>
      <c r="Y48" s="54" t="inlineStr">
        <is>
          <t>SI</t>
        </is>
      </c>
      <c r="Z48" s="54" t="inlineStr">
        <is>
          <t>stale_2017-12-31</t>
        </is>
      </c>
      <c r="AA48" s="54" t="n"/>
      <c r="AB48" s="54" t="n"/>
      <c r="AC48" s="54" t="n"/>
      <c r="AD48" s="54" t="n"/>
    </row>
    <row r="49">
      <c r="A49" s="40" t="inlineStr">
        <is>
          <t>PKX</t>
        </is>
      </c>
      <c r="B49" s="2" t="n">
        <v>-20.94</v>
      </c>
      <c r="C49" s="37" t="n">
        <v>0</v>
      </c>
      <c r="D49" s="12" t="inlineStr">
        <is>
          <t>-</t>
        </is>
      </c>
      <c r="E49" s="12" t="inlineStr">
        <is>
          <t>45,959,440%</t>
        </is>
      </c>
      <c r="F49" s="12" t="n">
        <v>-0.0537</v>
      </c>
      <c r="G49" s="12" t="inlineStr">
        <is>
          <t>-</t>
        </is>
      </c>
      <c r="H49" s="54" t="n"/>
      <c r="I49" s="54" t="n"/>
      <c r="J49" s="54" t="n"/>
      <c r="K49" s="54" t="n"/>
      <c r="L49" s="54" t="n"/>
      <c r="M49" s="54" t="n"/>
      <c r="N49" s="54" t="n"/>
      <c r="O49" s="54" t="n"/>
      <c r="P49" s="54" t="n"/>
      <c r="Q49" s="35" t="n"/>
      <c r="R49" s="35" t="n"/>
      <c r="S49" s="35" t="n"/>
      <c r="T49" s="35" t="n"/>
      <c r="U49" s="35" t="n"/>
      <c r="V49" s="35" t="n"/>
      <c r="W49" s="54" t="n"/>
      <c r="X49" s="54" t="n"/>
      <c r="Y49" s="54" t="n"/>
      <c r="Z49" s="54" t="n"/>
      <c r="AA49" s="54" t="n"/>
      <c r="AB49" s="54" t="n"/>
      <c r="AC49" s="54" t="n"/>
      <c r="AD49" s="54" t="n"/>
    </row>
    <row r="50">
      <c r="A50" s="40" t="inlineStr">
        <is>
          <t>MMM</t>
        </is>
      </c>
      <c r="B50" s="2" t="n">
        <v>32.32</v>
      </c>
      <c r="C50" s="37" t="n">
        <v>32.32</v>
      </c>
      <c r="D50" s="12" t="n">
        <v>-0.0851</v>
      </c>
      <c r="E50" s="12" t="n">
        <v>0.1114</v>
      </c>
      <c r="F50" s="12" t="n">
        <v>0.7146</v>
      </c>
      <c r="G50" s="12" t="n">
        <v>0.5662</v>
      </c>
      <c r="H50" s="54" t="n"/>
      <c r="I50" s="33" t="n">
        <v>31.72</v>
      </c>
      <c r="J50" s="33" t="n">
        <v>6</v>
      </c>
      <c r="K50" s="33" t="n">
        <v>5.23</v>
      </c>
      <c r="L50" s="35" t="n">
        <v>-0.0851</v>
      </c>
      <c r="M50" s="35" t="n">
        <v>0.1114</v>
      </c>
      <c r="N50" s="35" t="n">
        <v>0.7214</v>
      </c>
      <c r="O50" s="35" t="n">
        <v>0.5662</v>
      </c>
      <c r="P50" s="54" t="n"/>
      <c r="Q50" s="35">
        <f>ABS(B50-I50)/B50</f>
        <v/>
      </c>
      <c r="R50" s="35">
        <f>ABS(C50-J50)/C50</f>
        <v/>
      </c>
      <c r="S50" s="35">
        <f>ABS(D50-L50)/D50</f>
        <v/>
      </c>
      <c r="T50" s="35">
        <f>ABS(E50-M50)/E50</f>
        <v/>
      </c>
      <c r="U50" s="35">
        <f>ABS(F50-N50)/F50</f>
        <v/>
      </c>
      <c r="V50" s="35">
        <f>ABS(G50-O50)/G50</f>
        <v/>
      </c>
      <c r="W50" s="54" t="n"/>
      <c r="X50" s="54" t="inlineStr">
        <is>
          <t>B</t>
        </is>
      </c>
      <c r="Y50" s="54" t="n"/>
      <c r="Z50" s="54" t="n"/>
      <c r="AA50" s="54" t="n"/>
      <c r="AB50" s="54" t="n"/>
      <c r="AC50" s="54" t="n"/>
      <c r="AD50" s="54" t="n"/>
    </row>
    <row r="51">
      <c r="A51" s="54" t="inlineStr">
        <is>
          <t>UN</t>
        </is>
      </c>
      <c r="B51" s="54" t="n"/>
      <c r="C51" s="33" t="n"/>
      <c r="D51" s="54" t="n"/>
      <c r="E51" s="54" t="n"/>
      <c r="F51" s="54" t="n"/>
      <c r="G51" s="54" t="n"/>
      <c r="H51" s="54" t="n"/>
      <c r="I51" s="54" t="n"/>
      <c r="J51" s="54" t="n"/>
      <c r="K51" s="54" t="n"/>
      <c r="L51" s="54" t="n"/>
      <c r="M51" s="54" t="n"/>
      <c r="N51" s="54" t="n"/>
      <c r="O51" s="54" t="n"/>
      <c r="P51" s="54" t="n"/>
      <c r="Q51" s="35" t="n"/>
      <c r="R51" s="35" t="n"/>
      <c r="S51" s="35" t="n"/>
      <c r="T51" s="35" t="n"/>
      <c r="U51" s="35" t="n"/>
      <c r="V51" s="35" t="n"/>
      <c r="W51" s="54" t="n"/>
      <c r="X51" s="54" t="n"/>
      <c r="Y51" s="54" t="n"/>
      <c r="Z51" s="54" t="n"/>
      <c r="AA51" s="54" t="n"/>
      <c r="AB51" s="54" t="n"/>
      <c r="AC51" s="54" t="n"/>
      <c r="AD51" s="54" t="n"/>
    </row>
    <row r="52">
      <c r="A52" s="54" t="inlineStr">
        <is>
          <t>KOF</t>
        </is>
      </c>
      <c r="B52" s="2" t="n">
        <v>16.73</v>
      </c>
      <c r="C52" s="37" t="n">
        <v>113.51</v>
      </c>
      <c r="D52" s="12" t="n">
        <v>0.1826</v>
      </c>
      <c r="E52" s="12" t="n">
        <v>0.0788</v>
      </c>
      <c r="F52" s="12" t="n">
        <v>0.1582</v>
      </c>
      <c r="G52" s="12" t="n">
        <v>0.6654</v>
      </c>
      <c r="H52" s="54" t="n"/>
      <c r="I52" s="54" t="n"/>
      <c r="J52" s="54" t="n"/>
      <c r="K52" s="54" t="n"/>
      <c r="L52" s="54" t="n"/>
      <c r="M52" s="54" t="n"/>
      <c r="N52" s="54" t="n"/>
      <c r="O52" s="54" t="n"/>
      <c r="P52" s="54" t="n"/>
      <c r="Q52" s="35" t="n"/>
      <c r="R52" s="35" t="n"/>
      <c r="S52" s="35" t="n"/>
      <c r="T52" s="35" t="n"/>
      <c r="U52" s="35" t="n"/>
      <c r="V52" s="35" t="n"/>
      <c r="W52" s="54" t="n"/>
      <c r="X52" s="54" t="inlineStr">
        <is>
          <t>C</t>
        </is>
      </c>
      <c r="Y52" s="54" t="inlineStr">
        <is>
          <t>SI</t>
        </is>
      </c>
      <c r="Z52" s="54" t="inlineStr">
        <is>
          <t>stale_2020-12-31</t>
        </is>
      </c>
      <c r="AA52" s="54" t="n"/>
      <c r="AB52" s="54" t="n"/>
      <c r="AC52" s="54" t="n"/>
      <c r="AD52" s="54" t="n"/>
    </row>
    <row r="53">
      <c r="A53" s="54" t="inlineStr">
        <is>
          <t>AMGN</t>
        </is>
      </c>
      <c r="B53" s="2" t="n">
        <v>24.5</v>
      </c>
      <c r="C53" s="37" t="n">
        <v>14.23</v>
      </c>
      <c r="D53" s="12" t="n">
        <v>14.23</v>
      </c>
      <c r="E53" s="12" t="n">
        <v>0.2096</v>
      </c>
      <c r="F53" s="12" t="n">
        <v>1.0132</v>
      </c>
      <c r="G53" s="12" t="n">
        <v>0.6671</v>
      </c>
      <c r="H53" s="54" t="n"/>
      <c r="I53" s="33" t="n">
        <v>24.51</v>
      </c>
      <c r="J53" s="36" t="n">
        <v>14.23</v>
      </c>
      <c r="K53" s="33" t="n">
        <v>14.34</v>
      </c>
      <c r="L53" s="35" t="n">
        <v>0.0294</v>
      </c>
      <c r="M53" s="35" t="n">
        <v>0.2096</v>
      </c>
      <c r="N53" s="35" t="n">
        <v>1.0132</v>
      </c>
      <c r="O53" s="35" t="n">
        <v>0.6671</v>
      </c>
      <c r="P53" s="54" t="n"/>
      <c r="Q53" s="35">
        <f>ABS(B53-I53)/B53</f>
        <v/>
      </c>
      <c r="R53" s="35">
        <f>ABS(C53-J53)/C53</f>
        <v/>
      </c>
      <c r="S53" s="35">
        <f>ABS(D53-L53)/D53</f>
        <v/>
      </c>
      <c r="T53" s="35">
        <f>ABS(E53-M53)/E53</f>
        <v/>
      </c>
      <c r="U53" s="35">
        <f>ABS(F53-N53)/F53</f>
        <v/>
      </c>
      <c r="V53" s="35">
        <f>ABS(G53-O53)/G53</f>
        <v/>
      </c>
      <c r="W53" s="54" t="n"/>
      <c r="X53" s="54" t="inlineStr">
        <is>
          <t>B</t>
        </is>
      </c>
      <c r="Y53" s="54" t="n"/>
      <c r="Z53" s="54" t="n"/>
      <c r="AA53" s="54" t="n"/>
      <c r="AB53" s="54" t="n"/>
      <c r="AC53" s="54" t="n"/>
      <c r="AD53" s="54" t="n"/>
    </row>
    <row r="54">
      <c r="A54" s="54" t="inlineStr">
        <is>
          <t>BG</t>
        </is>
      </c>
      <c r="B54" s="2" t="n">
        <v>28.42</v>
      </c>
      <c r="C54" s="37" t="n">
        <v>4.93</v>
      </c>
      <c r="D54" s="12" t="n">
        <v>-0.0857</v>
      </c>
      <c r="E54" s="12" t="n">
        <v>0.008500000000000001</v>
      </c>
      <c r="F54" s="12" t="n">
        <v>0.0493</v>
      </c>
      <c r="G54" s="12" t="n">
        <v>0.7379</v>
      </c>
      <c r="H54" s="54" t="n"/>
      <c r="I54" s="33" t="n">
        <v>31.23</v>
      </c>
      <c r="J54" s="36" t="n">
        <v>4.91</v>
      </c>
      <c r="K54" s="33" t="n">
        <v>3.49</v>
      </c>
      <c r="L54" s="54" t="n"/>
      <c r="M54" s="35" t="n">
        <v>0.008500000000000001</v>
      </c>
      <c r="N54" s="35" t="n">
        <v>0.0513</v>
      </c>
      <c r="O54" s="35" t="n">
        <v>0.7379</v>
      </c>
      <c r="P54" s="54" t="n"/>
      <c r="Q54" s="35">
        <f>ABS(B54-I54)/B54</f>
        <v/>
      </c>
      <c r="R54" s="35">
        <f>ABS(C54-J54)/C54</f>
        <v/>
      </c>
      <c r="S54" s="35">
        <f>ABS(D54-L54)/D54</f>
        <v/>
      </c>
      <c r="T54" s="35">
        <f>ABS(E54-M54)/E54</f>
        <v/>
      </c>
      <c r="U54" s="35">
        <f>ABS(F54-N54)/F54</f>
        <v/>
      </c>
      <c r="V54" s="35">
        <f>ABS(G54-O54)/G54</f>
        <v/>
      </c>
      <c r="W54" s="54" t="n"/>
      <c r="X54" s="54" t="inlineStr">
        <is>
          <t>A</t>
        </is>
      </c>
      <c r="Y54" s="54" t="n"/>
      <c r="Z54" s="54" t="n"/>
      <c r="AA54" s="54" t="n"/>
      <c r="AB54" s="54" t="n"/>
      <c r="AC54" s="54" t="n"/>
      <c r="AD54" s="54" t="n"/>
    </row>
    <row r="55">
      <c r="A55" s="54" t="inlineStr">
        <is>
          <t>PSO</t>
        </is>
      </c>
      <c r="B55" s="2" t="n">
        <v>22.66</v>
      </c>
      <c r="C55" s="37" t="n">
        <v>0.51</v>
      </c>
      <c r="D55" s="12" t="n">
        <v>0.0302</v>
      </c>
      <c r="E55" s="12" t="n">
        <v>0.09370000000000001</v>
      </c>
      <c r="F55" s="12" t="n">
        <v>0.0871</v>
      </c>
      <c r="G55" s="12" t="n">
        <v>0.4776</v>
      </c>
      <c r="H55" s="54" t="n"/>
      <c r="I55" s="54" t="n"/>
      <c r="J55" s="54" t="n"/>
      <c r="K55" s="54" t="n"/>
      <c r="L55" s="54" t="n"/>
      <c r="M55" s="54" t="n"/>
      <c r="N55" s="54" t="n"/>
      <c r="O55" s="54" t="n"/>
      <c r="P55" s="54" t="n"/>
      <c r="Q55" s="35" t="n"/>
      <c r="R55" s="35" t="n"/>
      <c r="S55" s="35" t="n"/>
      <c r="T55" s="35" t="n"/>
      <c r="U55" s="35" t="n"/>
      <c r="V55" s="35" t="n"/>
      <c r="W55" s="54" t="n"/>
      <c r="X55" s="54" t="n"/>
      <c r="Y55" s="54" t="n"/>
      <c r="Z55" s="54" t="n"/>
      <c r="AA55" s="54" t="n"/>
      <c r="AB55" s="54" t="n"/>
      <c r="AC55" s="54" t="n"/>
      <c r="AD55" s="54" t="n"/>
    </row>
    <row r="56">
      <c r="A56" s="54" t="inlineStr">
        <is>
          <t>HON</t>
        </is>
      </c>
      <c r="B56" s="2" t="n">
        <v>36.62</v>
      </c>
      <c r="C56" s="37" t="n">
        <v>6.89</v>
      </c>
      <c r="D56" s="12" t="n">
        <v>0.0049</v>
      </c>
      <c r="E56" s="12" t="n">
        <v>0.1089</v>
      </c>
      <c r="F56" s="12" t="n">
        <v>0.2426</v>
      </c>
      <c r="G56" s="12" t="n">
        <v>0.7376</v>
      </c>
      <c r="H56" s="54" t="n"/>
      <c r="I56" s="33" t="n">
        <v>35.4</v>
      </c>
      <c r="J56" s="33" t="n">
        <v>7.36</v>
      </c>
      <c r="K56" s="36" t="n">
        <v>6.42</v>
      </c>
      <c r="L56" s="35" t="n">
        <v>0.0184</v>
      </c>
      <c r="M56" s="35" t="n">
        <v>0.1089</v>
      </c>
      <c r="N56" s="35" t="n">
        <v>0.2641</v>
      </c>
      <c r="O56" s="35" t="n">
        <v>0.7376</v>
      </c>
      <c r="P56" s="54" t="n"/>
      <c r="Q56" s="35">
        <f>ABS(B56-I56)/B56</f>
        <v/>
      </c>
      <c r="R56" s="35">
        <f>ABS(C56-J56)/C56</f>
        <v/>
      </c>
      <c r="S56" s="35">
        <f>ABS(D56-L56)/D56</f>
        <v/>
      </c>
      <c r="T56" s="35">
        <f>ABS(E56-M56)/E56</f>
        <v/>
      </c>
      <c r="U56" s="35">
        <f>ABS(F56-N56)/F56</f>
        <v/>
      </c>
      <c r="V56" s="35">
        <f>ABS(G56-O56)/G56</f>
        <v/>
      </c>
      <c r="W56" s="54" t="n"/>
      <c r="X56" s="54" t="inlineStr">
        <is>
          <t>A</t>
        </is>
      </c>
      <c r="Y56" s="54" t="n"/>
      <c r="Z56" s="54" t="n"/>
      <c r="AA56" s="54" t="n"/>
      <c r="AB56" s="54" t="n"/>
      <c r="AC56" s="54" t="n"/>
      <c r="AD56" s="54" t="n"/>
    </row>
    <row r="57">
      <c r="A57" s="54" t="inlineStr">
        <is>
          <t>ITUB</t>
        </is>
      </c>
      <c r="B57" s="2" t="n">
        <v>9.960000000000001</v>
      </c>
      <c r="C57" s="37" t="inlineStr">
        <is>
          <t>4,01</t>
        </is>
      </c>
      <c r="D57" s="12" t="n">
        <v>0.187</v>
      </c>
      <c r="E57" s="12" t="n">
        <v>0.3328</v>
      </c>
      <c r="F57" s="12" t="n">
        <v>0.2182</v>
      </c>
      <c r="G57" s="12" t="n">
        <v>0.6917</v>
      </c>
      <c r="H57" s="54" t="n"/>
      <c r="I57" s="54" t="n"/>
      <c r="J57" s="54" t="n"/>
      <c r="K57" s="54" t="n"/>
      <c r="L57" s="54" t="n"/>
      <c r="M57" s="54" t="n"/>
      <c r="N57" s="54" t="n"/>
      <c r="O57" s="54" t="n"/>
      <c r="P57" s="54" t="n"/>
      <c r="Q57" s="35" t="n"/>
      <c r="R57" s="35" t="n"/>
      <c r="S57" s="35" t="n"/>
      <c r="T57" s="35" t="n"/>
      <c r="U57" s="35" t="n"/>
      <c r="V57" s="35" t="n"/>
      <c r="W57" s="54" t="n"/>
      <c r="X57" s="54" t="n"/>
      <c r="Y57" s="54" t="n"/>
      <c r="Z57" s="54" t="n"/>
      <c r="AA57" s="54" t="n"/>
      <c r="AB57" s="54" t="n"/>
      <c r="AC57" s="54" t="n"/>
      <c r="AD57" s="54" t="n"/>
    </row>
    <row r="58">
      <c r="A58" s="54" t="inlineStr">
        <is>
          <t>BSBR</t>
        </is>
      </c>
      <c r="B58" s="2" t="n">
        <v>7.72</v>
      </c>
      <c r="C58" s="37" t="n">
        <v>3.42</v>
      </c>
      <c r="D58" s="12" t="n">
        <v>-0.0102</v>
      </c>
      <c r="E58" s="12" t="n">
        <v>0.2816</v>
      </c>
      <c r="F58" s="12" t="n">
        <v>0.1047</v>
      </c>
      <c r="G58" s="12" t="n">
        <v>0.5601</v>
      </c>
      <c r="H58" s="54" t="n"/>
      <c r="I58" s="54" t="n"/>
      <c r="J58" s="54" t="n"/>
      <c r="K58" s="54" t="n"/>
      <c r="L58" s="54" t="n"/>
      <c r="M58" s="54" t="n"/>
      <c r="N58" s="54" t="n"/>
      <c r="O58" s="54" t="n"/>
      <c r="P58" s="54" t="n"/>
      <c r="Q58" s="35" t="n"/>
      <c r="R58" s="35" t="n"/>
      <c r="S58" s="35" t="n"/>
      <c r="T58" s="35" t="n"/>
      <c r="U58" s="35" t="n"/>
      <c r="V58" s="35" t="n"/>
      <c r="W58" s="54" t="n"/>
      <c r="X58" s="54" t="n"/>
      <c r="Y58" s="54" t="n"/>
      <c r="Z58" s="54" t="n"/>
      <c r="AA58" s="54" t="n"/>
      <c r="AB58" s="54" t="n"/>
      <c r="AC58" s="54" t="n"/>
      <c r="AD58" s="54" t="n"/>
    </row>
    <row r="59">
      <c r="A59" s="54" t="inlineStr">
        <is>
          <t>T</t>
        </is>
      </c>
      <c r="B59" s="2" t="n">
        <v>7.49</v>
      </c>
      <c r="C59" s="37" t="inlineStr">
        <is>
          <t>3,05</t>
        </is>
      </c>
      <c r="D59" s="12" t="n">
        <v>0.4805</v>
      </c>
      <c r="E59" s="12" t="n">
        <v>0.1694</v>
      </c>
      <c r="F59" s="12" t="n">
        <v>0.1837</v>
      </c>
      <c r="G59" s="12" t="n">
        <v>0.3773</v>
      </c>
      <c r="H59" s="54" t="n"/>
      <c r="I59" s="33" t="n">
        <v>7.33</v>
      </c>
      <c r="J59" s="33" t="n">
        <v>3.04</v>
      </c>
      <c r="K59" s="36" t="n">
        <v>3.05</v>
      </c>
      <c r="L59" s="54" t="n"/>
      <c r="M59" s="35" t="n">
        <v>0.1694</v>
      </c>
      <c r="N59" s="54" t="n"/>
      <c r="O59" s="35" t="n">
        <v>0.3773</v>
      </c>
      <c r="P59" s="54" t="n"/>
      <c r="Q59" s="35">
        <f>ABS(B59-I59)/B59</f>
        <v/>
      </c>
      <c r="R59" s="35">
        <f>ABS(C59-J59)/C59</f>
        <v/>
      </c>
      <c r="S59" s="35" t="n"/>
      <c r="T59" s="35">
        <f>ABS(E59-M59)/E59</f>
        <v/>
      </c>
      <c r="U59" s="35" t="n"/>
      <c r="V59" s="35">
        <f>ABS(G59-O59)/G59</f>
        <v/>
      </c>
      <c r="W59" s="54" t="n"/>
      <c r="X59" s="54" t="inlineStr">
        <is>
          <t>B</t>
        </is>
      </c>
      <c r="Y59" s="54" t="n"/>
      <c r="Z59" s="54" t="n"/>
      <c r="AA59" s="54" t="n"/>
      <c r="AB59" s="54" t="n"/>
      <c r="AC59" s="54" t="n"/>
      <c r="AD59" s="54" t="n"/>
    </row>
    <row r="60">
      <c r="A60" s="54" t="inlineStr">
        <is>
          <t>OGZPY</t>
        </is>
      </c>
      <c r="B60" s="2" t="n"/>
      <c r="C60" s="37" t="n"/>
      <c r="D60" s="12" t="n"/>
      <c r="E60" s="12" t="n"/>
      <c r="F60" s="12" t="n"/>
      <c r="G60" s="12" t="n"/>
      <c r="H60" s="54" t="n"/>
      <c r="I60" s="54" t="n"/>
      <c r="J60" s="54" t="n"/>
      <c r="K60" s="54" t="n"/>
      <c r="L60" s="54" t="n"/>
      <c r="M60" s="54" t="n"/>
      <c r="N60" s="54" t="n"/>
      <c r="O60" s="54" t="n"/>
      <c r="P60" s="54" t="n"/>
      <c r="Q60" s="35" t="n"/>
      <c r="R60" s="35" t="n"/>
      <c r="S60" s="35" t="n"/>
      <c r="T60" s="35" t="n"/>
      <c r="U60" s="35" t="n"/>
      <c r="V60" s="35" t="n"/>
      <c r="W60" s="54" t="n"/>
      <c r="X60" s="54" t="n"/>
      <c r="Y60" s="54" t="n"/>
      <c r="Z60" s="54" t="n"/>
      <c r="AA60" s="54" t="n"/>
      <c r="AB60" s="54" t="n"/>
      <c r="AC60" s="54" t="n"/>
      <c r="AD60" s="54" t="n"/>
    </row>
    <row r="61">
      <c r="A61" s="54" t="inlineStr">
        <is>
          <t>PEP</t>
        </is>
      </c>
      <c r="B61" s="2" t="n">
        <v>22.51</v>
      </c>
      <c r="C61" s="37" t="n">
        <v>6</v>
      </c>
      <c r="D61" s="12" t="n">
        <v>0.0322</v>
      </c>
      <c r="E61" s="12" t="n">
        <v>0.0915</v>
      </c>
      <c r="F61" s="12" t="n">
        <v>0.4388</v>
      </c>
      <c r="G61" s="12" t="n">
        <v>0.8842</v>
      </c>
      <c r="H61" s="54" t="n"/>
      <c r="I61" s="33" t="n">
        <v>22.34</v>
      </c>
      <c r="J61" s="36" t="n">
        <v>6</v>
      </c>
      <c r="K61" s="33" t="n">
        <v>6.37</v>
      </c>
      <c r="L61" s="35" t="n">
        <v>0.0322</v>
      </c>
      <c r="M61" s="35" t="n">
        <v>0.0915</v>
      </c>
      <c r="N61" s="35" t="n">
        <v>0.4392</v>
      </c>
      <c r="O61" s="35" t="n">
        <v>0.8842</v>
      </c>
      <c r="P61" s="54" t="n"/>
      <c r="Q61" s="35">
        <f>ABS(B61-I61)/B61</f>
        <v/>
      </c>
      <c r="R61" s="35">
        <f>ABS(C61-J61)/C61</f>
        <v/>
      </c>
      <c r="S61" s="35">
        <f>ABS(D61-L61)/D61</f>
        <v/>
      </c>
      <c r="T61" s="35">
        <f>ABS(E61-M61)/E61</f>
        <v/>
      </c>
      <c r="U61" s="35">
        <f>ABS(F61-N61)/F61</f>
        <v/>
      </c>
      <c r="V61" s="35">
        <f>ABS(G61-O61)/G61</f>
        <v/>
      </c>
      <c r="W61" s="54" t="n"/>
      <c r="X61" s="54" t="inlineStr">
        <is>
          <t>B</t>
        </is>
      </c>
      <c r="Y61" s="54" t="n"/>
      <c r="Z61" s="54" t="n"/>
      <c r="AA61" s="54" t="n"/>
      <c r="AB61" s="54" t="n"/>
      <c r="AC61" s="54" t="n"/>
      <c r="AD61" s="54" t="n"/>
    </row>
    <row r="62">
      <c r="A62" s="54" t="inlineStr">
        <is>
          <t>XOM</t>
        </is>
      </c>
      <c r="B62" s="2" t="n">
        <v>22.97</v>
      </c>
      <c r="C62" s="37" t="n">
        <v>6.7</v>
      </c>
      <c r="D62" s="12" t="n">
        <v>0.0498</v>
      </c>
      <c r="E62" s="12" t="n">
        <v>0.0776</v>
      </c>
      <c r="F62" s="12" t="n">
        <v>0.0987</v>
      </c>
      <c r="G62" s="12" t="n">
        <v>0.6807</v>
      </c>
      <c r="H62" s="54" t="n"/>
      <c r="I62" s="33" t="n">
        <v>23.9</v>
      </c>
      <c r="J62" s="36" t="n">
        <v>6.7</v>
      </c>
      <c r="K62" s="33" t="n">
        <v>5.73</v>
      </c>
      <c r="L62" s="54" t="n"/>
      <c r="M62" s="35" t="n">
        <v>0.0757</v>
      </c>
      <c r="N62" s="35" t="n">
        <v>0.0979</v>
      </c>
      <c r="O62" s="35" t="n">
        <v>0.6807</v>
      </c>
      <c r="P62" s="54" t="n"/>
      <c r="Q62" s="35">
        <f>ABS(B62-I62)/B62</f>
        <v/>
      </c>
      <c r="R62" s="35">
        <f>ABS(C62-J62)/C62</f>
        <v/>
      </c>
      <c r="S62" s="35">
        <f>ABS(D62-L62)/D62</f>
        <v/>
      </c>
      <c r="T62" s="35">
        <f>ABS(E62-M62)/E62</f>
        <v/>
      </c>
      <c r="U62" s="35">
        <f>ABS(F62-N62)/F62</f>
        <v/>
      </c>
      <c r="V62" s="35">
        <f>ABS(G62-O62)/G62</f>
        <v/>
      </c>
      <c r="W62" s="54" t="n"/>
      <c r="X62" s="54" t="inlineStr">
        <is>
          <t>B</t>
        </is>
      </c>
      <c r="Y62" s="54" t="n"/>
      <c r="Z62" s="54" t="n"/>
      <c r="AA62" s="54" t="n"/>
      <c r="AB62" s="54" t="n"/>
      <c r="AC62" s="54" t="n"/>
      <c r="AD62" s="54" t="n"/>
    </row>
    <row r="63">
      <c r="A63" s="54" t="inlineStr">
        <is>
          <t>PFE</t>
        </is>
      </c>
      <c r="B63" s="2" t="n">
        <v>18.4</v>
      </c>
      <c r="C63" s="37" t="n">
        <v>1.36</v>
      </c>
      <c r="D63" s="12" t="n">
        <v>0.0288</v>
      </c>
      <c r="E63" s="12" t="n">
        <v>0.1183</v>
      </c>
      <c r="F63" s="12" t="n">
        <v>0.08309999999999999</v>
      </c>
      <c r="G63" s="12" t="n">
        <v>1.3054</v>
      </c>
      <c r="H63" s="54" t="n"/>
      <c r="I63" s="33" t="n">
        <v>18.39</v>
      </c>
      <c r="J63" s="36" t="n">
        <v>1.36</v>
      </c>
      <c r="K63" s="33" t="n">
        <v>1.31</v>
      </c>
      <c r="L63" s="35" t="n">
        <v>-0.0356</v>
      </c>
      <c r="M63" s="35" t="n">
        <v>0.1183</v>
      </c>
      <c r="N63" s="35" t="n">
        <v>0.083</v>
      </c>
      <c r="O63" s="54" t="n"/>
      <c r="P63" s="54" t="n"/>
      <c r="Q63" s="35">
        <f>ABS(B63-I63)/B63</f>
        <v/>
      </c>
      <c r="R63" s="35">
        <f>ABS(C63-J63)/C63</f>
        <v/>
      </c>
      <c r="S63" s="35">
        <f>ABS(D63-L63)/D63</f>
        <v/>
      </c>
      <c r="T63" s="35">
        <f>ABS(E63-M63)/E63</f>
        <v/>
      </c>
      <c r="U63" s="35">
        <f>ABS(F63-N63)/F63</f>
        <v/>
      </c>
      <c r="V63" s="35">
        <f>ABS(G63-O63)/G63</f>
        <v/>
      </c>
      <c r="W63" s="54" t="n"/>
      <c r="X63" s="54" t="inlineStr">
        <is>
          <t>B</t>
        </is>
      </c>
      <c r="Y63" s="54" t="n"/>
      <c r="Z63" s="54" t="n"/>
      <c r="AA63" s="54" t="n"/>
      <c r="AB63" s="54" t="n"/>
      <c r="AC63" s="54" t="n"/>
      <c r="AD63" s="54" t="n"/>
    </row>
    <row r="64">
      <c r="A64" s="54" t="inlineStr">
        <is>
          <t>AXP</t>
        </is>
      </c>
      <c r="B64" s="2" t="n">
        <v>21.37</v>
      </c>
      <c r="C64" s="37" t="n">
        <v>15.38</v>
      </c>
      <c r="D64" s="12" t="n">
        <v>0.3247</v>
      </c>
      <c r="E64" s="12" t="n">
        <v>0.1631</v>
      </c>
      <c r="F64" s="12" t="n">
        <v>0.3442</v>
      </c>
      <c r="G64" s="12" t="n">
        <v>0.209</v>
      </c>
      <c r="H64" s="54" t="n"/>
      <c r="I64" s="33" t="n">
        <v>20.94</v>
      </c>
      <c r="J64" s="36" t="n">
        <v>15.38</v>
      </c>
      <c r="K64" s="33" t="n">
        <v>16.36</v>
      </c>
      <c r="L64" s="35" t="n">
        <v>0.3247</v>
      </c>
      <c r="M64" s="35" t="n">
        <v>0.2659</v>
      </c>
      <c r="N64" s="35" t="n">
        <v>0.3442</v>
      </c>
      <c r="O64" s="35" t="n">
        <v>0.209</v>
      </c>
      <c r="P64" s="54" t="n"/>
      <c r="Q64" s="35">
        <f>ABS(B64-I64)/B64</f>
        <v/>
      </c>
      <c r="R64" s="35">
        <f>ABS(C64-J64)/C64</f>
        <v/>
      </c>
      <c r="S64" s="35">
        <f>ABS(D64-L64)/D64</f>
        <v/>
      </c>
      <c r="T64" s="35">
        <f>ABS(E64-M64)/E64</f>
        <v/>
      </c>
      <c r="U64" s="35">
        <f>ABS(F64-N64)/F64</f>
        <v/>
      </c>
      <c r="V64" s="35">
        <f>ABS(G64-O64)/G64</f>
        <v/>
      </c>
      <c r="W64" s="54" t="n"/>
      <c r="X64" s="54" t="inlineStr">
        <is>
          <t>B</t>
        </is>
      </c>
      <c r="Y64" s="54" t="n"/>
      <c r="Z64" s="54" t="n"/>
      <c r="AA64" s="54" t="n"/>
      <c r="AB64" s="54" t="n"/>
      <c r="AC64" s="54" t="n"/>
      <c r="AD64" s="54" t="n"/>
    </row>
    <row r="65">
      <c r="A65" s="54" t="inlineStr">
        <is>
          <t>MMC</t>
        </is>
      </c>
      <c r="H65" s="54" t="n"/>
      <c r="I65" s="54" t="n"/>
      <c r="J65" s="54" t="n"/>
      <c r="K65" s="54" t="n"/>
      <c r="L65" s="54" t="n"/>
      <c r="M65" s="54" t="n"/>
      <c r="N65" s="54" t="n"/>
      <c r="O65" s="54" t="n"/>
      <c r="P65" s="54" t="n"/>
      <c r="Q65" s="35" t="n"/>
      <c r="R65" s="35" t="n"/>
      <c r="S65" s="35" t="n"/>
      <c r="T65" s="35" t="n"/>
      <c r="U65" s="35" t="n"/>
      <c r="V65" s="35" t="n"/>
      <c r="W65" s="54" t="n"/>
      <c r="X65" s="54" t="n"/>
      <c r="Y65" s="54" t="n"/>
      <c r="Z65" s="54" t="n"/>
      <c r="AA65" s="54" t="n"/>
      <c r="AB65" s="54" t="n"/>
      <c r="AC65" s="54" t="n"/>
      <c r="AD65" s="54" t="n"/>
    </row>
    <row r="66">
      <c r="A66" s="54" t="inlineStr">
        <is>
          <t>PCAR</t>
        </is>
      </c>
      <c r="B66" s="2" t="n">
        <v>24.99</v>
      </c>
      <c r="C66" s="37" t="n">
        <v>4.51</v>
      </c>
      <c r="D66" s="12" t="n">
        <v>0.1252</v>
      </c>
      <c r="E66" s="12" t="n">
        <v>0.0891</v>
      </c>
      <c r="F66" s="12" t="n">
        <v>0.1311</v>
      </c>
      <c r="G66" s="12" t="n">
        <v>0.5773</v>
      </c>
      <c r="H66" s="54" t="n"/>
      <c r="I66" s="33" t="n">
        <v>24.93</v>
      </c>
      <c r="J66" s="36" t="n">
        <v>4.51</v>
      </c>
      <c r="K66" s="33" t="n">
        <v>4.69</v>
      </c>
      <c r="L66" s="35" t="n">
        <v>0.1252</v>
      </c>
      <c r="M66" s="35" t="n">
        <v>0.0891</v>
      </c>
      <c r="N66" s="35" t="n">
        <v>0.1311</v>
      </c>
      <c r="O66" s="35" t="n">
        <v>0.5773</v>
      </c>
      <c r="P66" s="54" t="n"/>
      <c r="Q66" s="35">
        <f>ABS(B66-I66)/B66</f>
        <v/>
      </c>
      <c r="R66" s="35">
        <f>ABS(C66-J66)/C66</f>
        <v/>
      </c>
      <c r="S66" s="35">
        <f>ABS(D66-L66)/D66</f>
        <v/>
      </c>
      <c r="T66" s="35">
        <f>ABS(E66-M66)/E66</f>
        <v/>
      </c>
      <c r="U66" s="35">
        <f>ABS(F66-N66)/F66</f>
        <v/>
      </c>
      <c r="V66" s="35">
        <f>ABS(G66-O66)/G66</f>
        <v/>
      </c>
      <c r="W66" s="54" t="n"/>
      <c r="X66" s="54" t="inlineStr">
        <is>
          <t>B</t>
        </is>
      </c>
      <c r="Y66" s="54" t="n"/>
      <c r="Z66" s="54" t="n"/>
      <c r="AA66" s="54" t="n"/>
      <c r="AB66" s="54" t="n"/>
      <c r="AC66" s="54" t="n"/>
      <c r="AD66" s="54" t="n"/>
    </row>
    <row r="67">
      <c r="A67" s="54" t="inlineStr">
        <is>
          <t>ORAN</t>
        </is>
      </c>
      <c r="B67" s="2" t="n"/>
      <c r="C67" s="37" t="n"/>
      <c r="D67" s="12" t="n"/>
      <c r="E67" s="12" t="n"/>
      <c r="F67" s="12" t="n"/>
      <c r="G67" s="12" t="n"/>
      <c r="H67" s="54" t="n"/>
      <c r="I67" s="54" t="n"/>
      <c r="J67" s="54" t="n"/>
      <c r="K67" s="54" t="n"/>
      <c r="L67" s="54" t="n"/>
      <c r="M67" s="54" t="n"/>
      <c r="N67" s="54" t="n"/>
      <c r="O67" s="54" t="n"/>
      <c r="P67" s="54" t="n"/>
      <c r="Q67" s="35" t="n"/>
      <c r="R67" s="35" t="n"/>
      <c r="S67" s="35" t="n"/>
      <c r="T67" s="35" t="n"/>
      <c r="U67" s="35" t="n"/>
      <c r="V67" s="35" t="n"/>
      <c r="W67" s="54" t="n"/>
      <c r="X67" s="54" t="n"/>
      <c r="Y67" s="54" t="n"/>
      <c r="Z67" s="54" t="n"/>
      <c r="AA67" s="54" t="n"/>
      <c r="AB67" s="54" t="n"/>
      <c r="AC67" s="54" t="n"/>
      <c r="AD67" s="54" t="n"/>
    </row>
    <row r="68">
      <c r="A68" s="54" t="inlineStr">
        <is>
          <t>AEG</t>
        </is>
      </c>
      <c r="B68" s="2" t="n">
        <v>12.56</v>
      </c>
      <c r="C68" s="37" t="n">
        <v>0.59</v>
      </c>
      <c r="D68" s="12" t="n">
        <v>0.1269</v>
      </c>
      <c r="E68" s="12" t="n">
        <v>0.0801</v>
      </c>
      <c r="F68" s="12" t="n">
        <v>0.1042</v>
      </c>
      <c r="G68" s="12" t="n">
        <v>0.6786</v>
      </c>
      <c r="H68" s="54" t="n"/>
      <c r="I68" s="54" t="n"/>
      <c r="J68" s="54" t="n"/>
      <c r="K68" s="54" t="n"/>
      <c r="L68" s="54" t="n"/>
      <c r="M68" s="54" t="n"/>
      <c r="N68" s="54" t="n"/>
      <c r="O68" s="54" t="n"/>
      <c r="P68" s="54" t="n"/>
      <c r="Q68" s="35" t="n"/>
      <c r="R68" s="35" t="n"/>
      <c r="S68" s="35" t="n"/>
      <c r="T68" s="35" t="n"/>
      <c r="U68" s="35" t="n"/>
      <c r="V68" s="35" t="n"/>
      <c r="W68" s="54" t="n"/>
      <c r="X68" s="54" t="n"/>
      <c r="Y68" s="54" t="n"/>
      <c r="Z68" s="54" t="n"/>
      <c r="AA68" s="54" t="n"/>
      <c r="AB68" s="54" t="n"/>
      <c r="AC68" s="54" t="n"/>
      <c r="AD68" s="54" t="n"/>
    </row>
    <row r="69">
      <c r="A69" s="54" t="inlineStr">
        <is>
          <t>ORCL</t>
        </is>
      </c>
      <c r="B69" s="2" t="n">
        <v>26.26</v>
      </c>
      <c r="C69" s="37" t="n">
        <v>5.83</v>
      </c>
      <c r="D69" s="12" t="n">
        <v>0.0508</v>
      </c>
      <c r="E69" s="12" t="n">
        <v>0.2537</v>
      </c>
      <c r="F69" s="12" t="n">
        <v>0.5338000000000001</v>
      </c>
      <c r="G69" s="12" t="n">
        <v>0.3387</v>
      </c>
      <c r="H69" s="54" t="n"/>
      <c r="I69" s="33" t="n">
        <v>26.87</v>
      </c>
      <c r="J69" s="36" t="n">
        <v>5.83</v>
      </c>
      <c r="K69" s="33" t="n">
        <v>5.86</v>
      </c>
      <c r="L69" s="35" t="n">
        <v>0.0508</v>
      </c>
      <c r="M69" s="35" t="n">
        <v>0.2537</v>
      </c>
      <c r="N69" s="35" t="n">
        <v>0.5427999999999999</v>
      </c>
      <c r="O69" s="35" t="n">
        <v>0.3387</v>
      </c>
      <c r="P69" s="54" t="n"/>
      <c r="Q69" s="35">
        <f>ABS(B69-I69)/B69</f>
        <v/>
      </c>
      <c r="R69" s="35">
        <f>ABS(C69-J69)/C69</f>
        <v/>
      </c>
      <c r="S69" s="35">
        <f>ABS(D69-L69)/D69</f>
        <v/>
      </c>
      <c r="T69" s="35">
        <f>ABS(E69-M69)/E69</f>
        <v/>
      </c>
      <c r="U69" s="35">
        <f>ABS(F69-N69)/F69</f>
        <v/>
      </c>
      <c r="V69" s="35">
        <f>ABS(G69-O69)/G69</f>
        <v/>
      </c>
      <c r="W69" s="54" t="n"/>
      <c r="X69" s="54" t="inlineStr">
        <is>
          <t>C</t>
        </is>
      </c>
      <c r="Y69" s="54" t="n"/>
      <c r="Z69" s="54" t="inlineStr">
        <is>
          <t>ebitda_da_mas_intangibles</t>
        </is>
      </c>
      <c r="AA69" s="54" t="n"/>
      <c r="AB69" s="54" t="n"/>
      <c r="AC69" s="54" t="n"/>
      <c r="AD69" s="54" t="n"/>
    </row>
    <row r="70">
      <c r="A70" s="54" t="inlineStr">
        <is>
          <t>GSK</t>
        </is>
      </c>
      <c r="B70" s="2" t="n">
        <v>13.78</v>
      </c>
      <c r="C70" s="37" t="n">
        <v>1.39</v>
      </c>
      <c r="D70" s="12" t="n">
        <v>0.028</v>
      </c>
      <c r="E70" s="12" t="n">
        <v>0.1778</v>
      </c>
      <c r="F70" s="12" t="n">
        <v>0.4091</v>
      </c>
      <c r="G70" s="12" t="n">
        <v>0.4452</v>
      </c>
      <c r="H70" s="54" t="n"/>
      <c r="I70" s="54" t="n"/>
      <c r="J70" s="54" t="n"/>
      <c r="K70" s="54" t="n"/>
      <c r="L70" s="54" t="n"/>
      <c r="M70" s="54" t="n"/>
      <c r="N70" s="54" t="n"/>
      <c r="O70" s="54" t="n"/>
      <c r="P70" s="54" t="n"/>
      <c r="Q70" s="35" t="n"/>
      <c r="R70" s="35" t="n"/>
      <c r="S70" s="35" t="n"/>
      <c r="T70" s="35" t="n"/>
      <c r="U70" s="35" t="n"/>
      <c r="V70" s="35" t="n"/>
      <c r="W70" s="54" t="n"/>
      <c r="X70" s="54" t="n"/>
      <c r="Y70" s="54" t="n"/>
      <c r="Z70" s="54" t="n"/>
      <c r="AA70" s="54" t="n"/>
      <c r="AB70" s="54" t="n"/>
      <c r="AC70" s="54" t="n"/>
      <c r="AD70" s="54" t="n"/>
    </row>
    <row r="71">
      <c r="A71" s="54" t="inlineStr">
        <is>
          <t>CBD</t>
        </is>
      </c>
      <c r="B71" s="2" t="n"/>
      <c r="C71" s="37" t="n"/>
      <c r="D71" s="12" t="n"/>
      <c r="E71" s="12" t="n"/>
      <c r="F71" s="12" t="n"/>
      <c r="G71" s="12" t="n"/>
      <c r="H71" s="54" t="n"/>
      <c r="I71" s="54" t="n"/>
      <c r="J71" s="54" t="n"/>
      <c r="K71" s="54" t="n"/>
      <c r="L71" s="54" t="n"/>
      <c r="M71" s="54" t="n"/>
      <c r="N71" s="54" t="n"/>
      <c r="O71" s="54" t="n"/>
      <c r="P71" s="54" t="n"/>
      <c r="Q71" s="35" t="n"/>
      <c r="R71" s="35" t="n"/>
      <c r="S71" s="35" t="n"/>
      <c r="T71" s="35" t="n"/>
      <c r="U71" s="35" t="n"/>
      <c r="V71" s="35" t="n"/>
      <c r="W71" s="54" t="n"/>
      <c r="X71" s="54" t="n"/>
      <c r="Y71" s="54" t="n"/>
      <c r="Z71" s="54" t="n"/>
      <c r="AA71" s="54" t="n"/>
      <c r="AB71" s="54" t="n"/>
      <c r="AC71" s="54" t="n"/>
      <c r="AD71" s="54" t="n"/>
    </row>
    <row r="72">
      <c r="A72" s="54" t="inlineStr">
        <is>
          <t>IBM</t>
        </is>
      </c>
      <c r="B72" s="2" t="n">
        <v>23.22</v>
      </c>
      <c r="C72" s="37" t="n">
        <v>11.14</v>
      </c>
      <c r="D72" s="12" t="n">
        <v>0.2051</v>
      </c>
      <c r="E72" s="12" t="n">
        <v>0.1561</v>
      </c>
      <c r="F72" s="12" t="n">
        <v>0.3577</v>
      </c>
      <c r="G72" s="12" t="n">
        <v>0.5842000000000001</v>
      </c>
      <c r="H72" s="54" t="n"/>
      <c r="I72" s="33" t="n">
        <v>23.28</v>
      </c>
      <c r="J72" s="36" t="n">
        <v>11.17</v>
      </c>
      <c r="K72" s="33" t="n">
        <v>11.29</v>
      </c>
      <c r="L72" s="35" t="n">
        <v>0.1239</v>
      </c>
      <c r="M72" s="35" t="n">
        <v>0.1561</v>
      </c>
      <c r="N72" s="35" t="n">
        <v>0.3593</v>
      </c>
      <c r="O72" s="35" t="n">
        <v>0.5842000000000001</v>
      </c>
      <c r="P72" s="54" t="n"/>
      <c r="Q72" s="35">
        <f>ABS(B72-I72)/B72</f>
        <v/>
      </c>
      <c r="R72" s="35">
        <f>ABS(C72-J72)/C72</f>
        <v/>
      </c>
      <c r="S72" s="35">
        <f>ABS(D72-L72)/D72</f>
        <v/>
      </c>
      <c r="T72" s="35">
        <f>ABS(E72-M72)/E72</f>
        <v/>
      </c>
      <c r="U72" s="35">
        <f>ABS(F72-N72)/F72</f>
        <v/>
      </c>
      <c r="V72" s="35">
        <f>ABS(G72-O72)/G72</f>
        <v/>
      </c>
      <c r="W72" s="54" t="n"/>
      <c r="X72" s="54" t="inlineStr">
        <is>
          <t>B</t>
        </is>
      </c>
      <c r="Y72" s="54" t="n"/>
      <c r="Z72" s="54" t="inlineStr">
        <is>
          <t>ebitda_da_mas_intangibles</t>
        </is>
      </c>
      <c r="AA72" s="54" t="n"/>
      <c r="AB72" s="54" t="n"/>
      <c r="AC72" s="54" t="n"/>
      <c r="AD72" s="54" t="n"/>
    </row>
    <row r="73">
      <c r="A73" s="54" t="inlineStr">
        <is>
          <t>YY</t>
        </is>
      </c>
      <c r="B73" s="2" t="n"/>
      <c r="C73" s="37" t="n"/>
      <c r="D73" s="12" t="n"/>
      <c r="E73" s="12" t="n"/>
      <c r="F73" s="12" t="n"/>
      <c r="G73" s="12" t="n"/>
      <c r="H73" s="54" t="n"/>
      <c r="I73" s="54" t="n"/>
      <c r="J73" s="54" t="n"/>
      <c r="K73" s="54" t="n"/>
      <c r="L73" s="54" t="n"/>
      <c r="M73" s="54" t="n"/>
      <c r="N73" s="54" t="n"/>
      <c r="O73" s="54" t="n"/>
      <c r="P73" s="54" t="n"/>
      <c r="Q73" s="35" t="n"/>
      <c r="R73" s="35" t="n"/>
      <c r="S73" s="35" t="n"/>
      <c r="T73" s="35" t="n"/>
      <c r="U73" s="35" t="n"/>
      <c r="V73" s="35" t="n"/>
      <c r="W73" s="54" t="n"/>
      <c r="X73" s="54" t="n"/>
      <c r="Y73" s="54" t="n"/>
      <c r="Z73" s="54" t="n"/>
      <c r="AA73" s="54" t="n"/>
      <c r="AB73" s="54" t="n"/>
      <c r="AC73" s="54" t="n"/>
      <c r="AD73" s="54" t="n"/>
    </row>
    <row r="74">
      <c r="A74" s="54" t="inlineStr">
        <is>
          <t>WB</t>
        </is>
      </c>
      <c r="B74" s="2" t="n">
        <v>5.5</v>
      </c>
      <c r="C74" s="37" t="n">
        <v>1.7</v>
      </c>
      <c r="D74" s="12" t="n">
        <v>0.0427</v>
      </c>
      <c r="E74" s="12" t="n">
        <v>0.2115</v>
      </c>
      <c r="F74" s="12" t="n">
        <v>0.1044</v>
      </c>
      <c r="G74" s="12" t="n">
        <v>0.4357</v>
      </c>
      <c r="H74" s="54" t="n"/>
      <c r="I74" s="33" t="n">
        <v>4.36</v>
      </c>
      <c r="J74" s="36" t="n">
        <v>1.7</v>
      </c>
      <c r="K74" s="33" t="n">
        <v>1.67</v>
      </c>
      <c r="L74" s="35" t="n">
        <v>0.0426</v>
      </c>
      <c r="M74" s="35" t="n">
        <v>0.3904</v>
      </c>
      <c r="N74" s="35" t="n">
        <v>0.1213</v>
      </c>
      <c r="O74" s="35" t="n">
        <v>0.4357</v>
      </c>
      <c r="P74" s="54" t="n"/>
      <c r="Q74" s="35">
        <f>ABS(B74-I74)/B74</f>
        <v/>
      </c>
      <c r="R74" s="35">
        <f>ABS(C74-J74)/C74</f>
        <v/>
      </c>
      <c r="S74" s="35">
        <f>ABS(D74-L74)/D74</f>
        <v/>
      </c>
      <c r="T74" s="35">
        <f>ABS(E74-M74)/E74</f>
        <v/>
      </c>
      <c r="U74" s="35">
        <f>ABS(F74-N74)/F74</f>
        <v/>
      </c>
      <c r="V74" s="35">
        <f>ABS(G74-O74)/G74</f>
        <v/>
      </c>
      <c r="W74" s="54" t="n"/>
      <c r="X74" s="54" t="inlineStr">
        <is>
          <t>C</t>
        </is>
      </c>
      <c r="Y74" s="54" t="n"/>
      <c r="Z74" s="54" t="inlineStr">
        <is>
          <t>ni_es_fy_no_ttm</t>
        </is>
      </c>
      <c r="AA74" s="54" t="n"/>
      <c r="AB74" s="54" t="n"/>
      <c r="AC74" s="54" t="n"/>
      <c r="AD74" s="54" t="n"/>
    </row>
    <row r="75">
      <c r="A75" s="54" t="inlineStr">
        <is>
          <t>SID</t>
        </is>
      </c>
      <c r="B75" s="2" t="n">
        <v>-3.35</v>
      </c>
      <c r="C75" s="37" t="n">
        <v>-1.51</v>
      </c>
      <c r="D75" s="12" t="n">
        <v>-0.1129</v>
      </c>
      <c r="E75" s="12" t="n">
        <v>-0.0449</v>
      </c>
      <c r="F75" s="12" t="n">
        <v>-0.0827</v>
      </c>
      <c r="G75" s="12" t="n">
        <v>-0.3478</v>
      </c>
      <c r="H75" s="54" t="n"/>
      <c r="I75" s="54" t="n"/>
      <c r="J75" s="54" t="n"/>
      <c r="K75" s="54" t="n"/>
      <c r="L75" s="54" t="n"/>
      <c r="M75" s="54" t="n"/>
      <c r="N75" s="54" t="n"/>
      <c r="O75" s="54" t="n"/>
      <c r="P75" s="54" t="n"/>
      <c r="Q75" s="35" t="n"/>
      <c r="R75" s="35" t="n"/>
      <c r="S75" s="35" t="n"/>
      <c r="T75" s="35" t="n"/>
      <c r="U75" s="35" t="n"/>
      <c r="V75" s="35" t="n"/>
      <c r="W75" s="54" t="n"/>
      <c r="X75" s="54" t="inlineStr">
        <is>
          <t>C</t>
        </is>
      </c>
      <c r="Y75" s="54" t="inlineStr">
        <is>
          <t>SI</t>
        </is>
      </c>
      <c r="Z75" s="54" t="inlineStr">
        <is>
          <t>stale_2009-12-31</t>
        </is>
      </c>
      <c r="AA75" s="54" t="n"/>
      <c r="AB75" s="54" t="n"/>
      <c r="AC75" s="54" t="n"/>
      <c r="AD75" s="54" t="n"/>
    </row>
    <row r="76">
      <c r="A76" s="54" t="inlineStr">
        <is>
          <t>CAT</t>
        </is>
      </c>
      <c r="B76" s="2" t="n">
        <v>49.17</v>
      </c>
      <c r="C76" s="37" t="n">
        <v>18.81</v>
      </c>
      <c r="D76" s="12" t="n">
        <v>0.2807</v>
      </c>
      <c r="E76" s="12" t="n">
        <v>0.1333</v>
      </c>
      <c r="F76" s="12" t="n">
        <v>0.5133</v>
      </c>
      <c r="G76" s="12" t="n">
        <v>0.2946</v>
      </c>
      <c r="H76" s="54" t="n"/>
      <c r="I76" s="33" t="n">
        <v>49.14</v>
      </c>
      <c r="J76" s="36" t="n">
        <v>18.81</v>
      </c>
      <c r="K76" s="33" t="n">
        <v>20.24</v>
      </c>
      <c r="L76" s="35" t="n">
        <v>0.2807</v>
      </c>
      <c r="M76" s="35" t="n">
        <v>0.1332</v>
      </c>
      <c r="N76" s="54" t="n"/>
      <c r="O76" s="35" t="n">
        <v>0.2947</v>
      </c>
      <c r="P76" s="54" t="n"/>
      <c r="Q76" s="35">
        <f>ABS(B76-I76)/B76</f>
        <v/>
      </c>
      <c r="R76" s="35">
        <f>ABS(C76-J76)/C76</f>
        <v/>
      </c>
      <c r="S76" s="35">
        <f>ABS(D76-L76)/D76</f>
        <v/>
      </c>
      <c r="T76" s="35">
        <f>ABS(E76-M76)/E76</f>
        <v/>
      </c>
      <c r="U76" s="35">
        <f>ABS(F76-N76)/F76</f>
        <v/>
      </c>
      <c r="V76" s="35">
        <f>ABS(G76-O76)/G76</f>
        <v/>
      </c>
      <c r="W76" s="54" t="n"/>
      <c r="X76" s="54" t="inlineStr">
        <is>
          <t>B</t>
        </is>
      </c>
      <c r="Y76" s="54" t="n"/>
      <c r="Z76" s="54" t="n"/>
      <c r="AA76" s="54" t="n"/>
      <c r="AB76" s="54" t="n"/>
      <c r="AC76" s="54" t="n"/>
      <c r="AD76" s="54" t="n"/>
    </row>
    <row r="77">
      <c r="A77" s="54" t="inlineStr">
        <is>
          <t>KO</t>
        </is>
      </c>
      <c r="B77" s="2" t="n">
        <v>25.44</v>
      </c>
      <c r="C77" s="37" t="inlineStr">
        <is>
          <t>3,04</t>
        </is>
      </c>
      <c r="D77" s="12" t="n">
        <v>0.1117</v>
      </c>
      <c r="E77" s="12" t="n">
        <v>0.278</v>
      </c>
      <c r="F77" s="12" t="n">
        <v>0.4337</v>
      </c>
      <c r="G77" s="12" t="n">
        <v>0.8007</v>
      </c>
      <c r="H77" s="54" t="n"/>
      <c r="I77" s="33" t="n">
        <v>25.38</v>
      </c>
      <c r="J77" s="36" t="n">
        <v>3.04</v>
      </c>
      <c r="K77" s="33" t="n">
        <v>3.18</v>
      </c>
      <c r="L77" s="35" t="n">
        <v>0.1117</v>
      </c>
      <c r="M77" s="35" t="n">
        <v>0.278</v>
      </c>
      <c r="N77" s="35" t="n">
        <v>0.458</v>
      </c>
      <c r="O77" s="35" t="n">
        <v>0.8007</v>
      </c>
      <c r="P77" s="54" t="n"/>
      <c r="Q77" s="35">
        <f>ABS(B77-I77)/B77</f>
        <v/>
      </c>
      <c r="R77" s="35">
        <f>ABS(C77-J77)/C77</f>
        <v/>
      </c>
      <c r="S77" s="35">
        <f>ABS(D77-L77)/D77</f>
        <v/>
      </c>
      <c r="T77" s="35">
        <f>ABS(E77-M77)/E77</f>
        <v/>
      </c>
      <c r="U77" s="35">
        <f>ABS(F77-N77)/F77</f>
        <v/>
      </c>
      <c r="V77" s="35">
        <f>ABS(G77-O77)/G77</f>
        <v/>
      </c>
      <c r="W77" s="54" t="n"/>
      <c r="X77" s="54" t="inlineStr">
        <is>
          <t>B</t>
        </is>
      </c>
      <c r="Y77" s="54" t="n"/>
      <c r="Z77" s="54" t="n"/>
      <c r="AA77" s="54" t="n"/>
      <c r="AB77" s="54" t="n"/>
      <c r="AC77" s="54" t="n"/>
      <c r="AD77" s="54" t="n"/>
    </row>
    <row r="78">
      <c r="A78" s="54" t="inlineStr">
        <is>
          <t>XRX</t>
        </is>
      </c>
      <c r="B78" s="2" t="n">
        <v>-0.38</v>
      </c>
      <c r="C78" s="37" t="n">
        <v>-8.25</v>
      </c>
      <c r="D78" s="12" t="n">
        <v>0.5792</v>
      </c>
      <c r="E78" s="12" t="n">
        <v>-0.1409</v>
      </c>
      <c r="F78" s="12" t="n">
        <v>-1.1536</v>
      </c>
      <c r="G78" s="12" t="n">
        <v>-0.0402</v>
      </c>
      <c r="H78" s="54" t="n"/>
      <c r="I78" s="54" t="n"/>
      <c r="J78" s="36" t="n">
        <v>-8.25</v>
      </c>
      <c r="K78" s="33" t="n">
        <v>-8.289999999999999</v>
      </c>
      <c r="L78" s="54" t="n"/>
      <c r="M78" s="35" t="n">
        <v>-0.1409</v>
      </c>
      <c r="N78" s="35" t="n">
        <v>-1.5444</v>
      </c>
      <c r="O78" s="54" t="n"/>
      <c r="P78" s="54" t="n"/>
      <c r="Q78" s="35" t="n"/>
      <c r="R78" s="35">
        <f>ABS(C78-J78)/C78</f>
        <v/>
      </c>
      <c r="S78" s="35" t="n"/>
      <c r="T78" s="35">
        <f>ABS(E78-M78)/E78</f>
        <v/>
      </c>
      <c r="U78" s="35">
        <f>ABS(F78-N78)/F78</f>
        <v/>
      </c>
      <c r="V78" s="35" t="n"/>
      <c r="W78" s="54" t="n"/>
      <c r="X78" s="54" t="inlineStr">
        <is>
          <t>B</t>
        </is>
      </c>
      <c r="Y78" s="54" t="n"/>
      <c r="Z78" s="54" t="n"/>
      <c r="AA78" s="54" t="n"/>
      <c r="AB78" s="54" t="n"/>
      <c r="AC78" s="54" t="n"/>
      <c r="AD78" s="54" t="n"/>
    </row>
    <row r="79">
      <c r="A79" s="54" t="inlineStr">
        <is>
          <t>HMC</t>
        </is>
      </c>
      <c r="B79" s="2" t="n">
        <v>-13.16</v>
      </c>
      <c r="C79" s="37" t="n">
        <v>-106.06</v>
      </c>
      <c r="D79" s="12" t="n">
        <v>-0.0353</v>
      </c>
      <c r="E79" s="12" t="n">
        <v>-0.0194</v>
      </c>
      <c r="F79" s="12" t="n">
        <v>-0.0285</v>
      </c>
      <c r="G79" s="12" t="n">
        <v>0.5734</v>
      </c>
      <c r="H79" s="54" t="n"/>
      <c r="I79" s="54" t="n"/>
      <c r="J79" s="54" t="n"/>
      <c r="K79" s="54" t="n"/>
      <c r="L79" s="54" t="n"/>
      <c r="M79" s="54" t="n"/>
      <c r="N79" s="54" t="n"/>
      <c r="O79" s="54" t="n"/>
      <c r="P79" s="54" t="n"/>
      <c r="Q79" s="35" t="n"/>
      <c r="R79" s="35" t="n"/>
      <c r="S79" s="35" t="n"/>
      <c r="T79" s="35" t="n"/>
      <c r="U79" s="35" t="n"/>
      <c r="V79" s="35" t="n"/>
      <c r="W79" s="54" t="n"/>
      <c r="X79" s="54" t="n"/>
      <c r="Y79" s="54" t="n"/>
      <c r="Z79" s="54" t="n"/>
      <c r="AA79" s="54" t="n"/>
      <c r="AB79" s="54" t="n"/>
      <c r="AC79" s="54" t="n"/>
      <c r="AD79" s="54" t="n"/>
    </row>
    <row r="80">
      <c r="A80" s="54" t="inlineStr">
        <is>
          <t>SIEGY</t>
        </is>
      </c>
      <c r="B80" s="2" t="n">
        <v>27.9</v>
      </c>
      <c r="C80" s="37" t="n">
        <v>9.52</v>
      </c>
      <c r="D80" s="12" t="n">
        <v>0.1432</v>
      </c>
      <c r="E80" s="12" t="n">
        <v>0.0969</v>
      </c>
      <c r="F80" s="12" t="n">
        <v>0.1259</v>
      </c>
      <c r="G80" s="12" t="n">
        <v>0.5394</v>
      </c>
      <c r="H80" s="54" t="n"/>
      <c r="I80" s="54" t="n"/>
      <c r="J80" s="54" t="n"/>
      <c r="K80" s="54" t="n"/>
      <c r="L80" s="54" t="n"/>
      <c r="M80" s="54" t="n"/>
      <c r="N80" s="54" t="n"/>
      <c r="O80" s="54" t="n"/>
      <c r="P80" s="54" t="n"/>
      <c r="Q80" s="35" t="n"/>
      <c r="R80" s="35" t="n"/>
      <c r="S80" s="35" t="n"/>
      <c r="T80" s="35" t="n"/>
      <c r="U80" s="35" t="n"/>
      <c r="V80" s="35" t="n"/>
      <c r="W80" s="54" t="n"/>
      <c r="X80" s="54" t="n"/>
      <c r="Y80" s="54" t="n"/>
      <c r="Z80" s="54" t="n"/>
      <c r="AA80" s="54" t="n"/>
      <c r="AB80" s="54" t="n"/>
      <c r="AC80" s="54" t="n"/>
      <c r="AD80" s="54" t="n"/>
    </row>
    <row r="81">
      <c r="A81" s="54" t="inlineStr">
        <is>
          <t>USB</t>
        </is>
      </c>
      <c r="B81" s="2" t="n">
        <v>12.58</v>
      </c>
      <c r="C81" s="37" t="n">
        <v>4.62</v>
      </c>
      <c r="D81" s="12" t="n">
        <v>0.0859</v>
      </c>
      <c r="E81" s="12" t="n">
        <v>0.2929</v>
      </c>
      <c r="F81" s="12" t="n">
        <v>0.1235</v>
      </c>
      <c r="G81" s="12" t="n">
        <v>0.4518</v>
      </c>
      <c r="H81" s="54" t="n"/>
      <c r="I81" s="33" t="n">
        <v>11.97</v>
      </c>
      <c r="J81" s="36" t="n">
        <v>4.62</v>
      </c>
      <c r="K81" s="33" t="n">
        <v>5.02</v>
      </c>
      <c r="L81" s="35" t="n">
        <v>0.0859</v>
      </c>
      <c r="M81" s="35" t="n">
        <v>0.2693</v>
      </c>
      <c r="N81" s="35" t="n">
        <v>0.124</v>
      </c>
      <c r="O81" s="35" t="n">
        <v>0.4096</v>
      </c>
      <c r="P81" s="54" t="n"/>
      <c r="Q81" s="35">
        <f>ABS(B81-I81)/B81</f>
        <v/>
      </c>
      <c r="R81" s="35">
        <f>ABS(C81-J81)/C81</f>
        <v/>
      </c>
      <c r="S81" s="35">
        <f>ABS(D81-L81)/D81</f>
        <v/>
      </c>
      <c r="T81" s="35">
        <f>ABS(E81-M81)/E81</f>
        <v/>
      </c>
      <c r="U81" s="35">
        <f>ABS(F81-N81)/F81</f>
        <v/>
      </c>
      <c r="V81" s="35">
        <f>ABS(G81-O81)/G81</f>
        <v/>
      </c>
      <c r="W81" s="54" t="n"/>
      <c r="X81" s="54" t="inlineStr">
        <is>
          <t>B</t>
        </is>
      </c>
      <c r="Y81" s="54" t="n"/>
      <c r="Z81" s="54" t="n"/>
      <c r="AA81" s="54" t="n"/>
      <c r="AB81" s="54" t="n"/>
      <c r="AC81" s="54" t="n"/>
      <c r="AD81" s="54" t="n"/>
    </row>
    <row r="82">
      <c r="A82" s="54" t="inlineStr">
        <is>
          <t>BK</t>
        </is>
      </c>
      <c r="B82" s="54" t="n"/>
      <c r="C82" s="33" t="n"/>
      <c r="D82" s="54" t="n"/>
      <c r="E82" s="54" t="n"/>
      <c r="F82" s="54" t="n"/>
      <c r="G82" s="54" t="n"/>
      <c r="H82" s="54" t="n"/>
      <c r="I82" s="54" t="n"/>
      <c r="J82" s="54" t="n"/>
      <c r="K82" s="54" t="n"/>
      <c r="L82" s="54" t="n"/>
      <c r="M82" s="54" t="n"/>
      <c r="N82" s="54" t="n"/>
      <c r="O82" s="54" t="n"/>
      <c r="P82" s="54" t="n"/>
      <c r="Q82" s="35" t="n"/>
      <c r="R82" s="35" t="n"/>
      <c r="S82" s="35" t="n"/>
      <c r="T82" s="35" t="n"/>
      <c r="U82" s="35" t="n"/>
      <c r="V82" s="35" t="n"/>
      <c r="W82" s="54" t="n"/>
      <c r="X82" s="54" t="n"/>
      <c r="Y82" s="54" t="n"/>
      <c r="Z82" s="54" t="n"/>
      <c r="AA82" s="54" t="n"/>
      <c r="AB82" s="54" t="n"/>
      <c r="AC82" s="54" t="n"/>
      <c r="AD82" s="54" t="n"/>
    </row>
    <row r="83">
      <c r="A83" s="54" t="inlineStr">
        <is>
          <t>NGG</t>
        </is>
      </c>
      <c r="B83" s="2" t="n">
        <v>18.96</v>
      </c>
      <c r="C83" s="37" t="n">
        <v>0.65</v>
      </c>
      <c r="D83" s="12" t="n">
        <v>0.1212</v>
      </c>
      <c r="E83" s="12" t="n">
        <v>0.1832</v>
      </c>
      <c r="F83" s="12" t="n">
        <v>0.08409999999999999</v>
      </c>
      <c r="G83" s="12" t="n">
        <v>0.5008</v>
      </c>
      <c r="H83" s="54" t="n"/>
      <c r="I83" s="54" t="n"/>
      <c r="J83" s="54" t="n"/>
      <c r="K83" s="54" t="n"/>
      <c r="L83" s="54" t="n"/>
      <c r="M83" s="54" t="n"/>
      <c r="N83" s="54" t="n"/>
      <c r="O83" s="54" t="n"/>
      <c r="P83" s="54" t="n"/>
      <c r="Q83" s="35" t="n"/>
      <c r="R83" s="35" t="n"/>
      <c r="S83" s="35" t="n"/>
      <c r="T83" s="35" t="n"/>
      <c r="U83" s="35" t="n"/>
      <c r="V83" s="35" t="n"/>
      <c r="W83" s="54" t="n"/>
      <c r="X83" s="54" t="n"/>
      <c r="Y83" s="54" t="n"/>
      <c r="Z83" s="54" t="n"/>
      <c r="AA83" s="54" t="n"/>
      <c r="AB83" s="54" t="n"/>
      <c r="AC83" s="54" t="n"/>
      <c r="AD83" s="54" t="n"/>
    </row>
    <row r="84">
      <c r="A84" s="54" t="inlineStr">
        <is>
          <t>DE</t>
        </is>
      </c>
      <c r="B84" s="2" t="n">
        <v>34.45</v>
      </c>
      <c r="C84" s="37" t="n">
        <v>18.5</v>
      </c>
      <c r="D84" s="12" t="n">
        <v>0.1631</v>
      </c>
      <c r="E84" s="12" t="n">
        <v>0.101</v>
      </c>
      <c r="F84" s="12" t="n">
        <v>0.1835</v>
      </c>
      <c r="G84" s="12" t="n">
        <v>0.3669</v>
      </c>
      <c r="H84" s="54" t="n"/>
      <c r="I84" s="33" t="n">
        <v>34.03</v>
      </c>
      <c r="J84" s="36" t="n">
        <v>18.5</v>
      </c>
      <c r="K84" s="33" t="n">
        <v>17.66</v>
      </c>
      <c r="L84" s="35" t="n">
        <v>0.1631</v>
      </c>
      <c r="M84" s="35" t="n">
        <v>0.1009</v>
      </c>
      <c r="N84" s="35" t="n">
        <v>0.1851</v>
      </c>
      <c r="O84" s="35" t="n">
        <v>0.3669</v>
      </c>
      <c r="P84" s="54" t="n"/>
      <c r="Q84" s="35">
        <f>ABS(B84-I84)/B84</f>
        <v/>
      </c>
      <c r="R84" s="35">
        <f>ABS(C84-J84)/C84</f>
        <v/>
      </c>
      <c r="S84" s="35">
        <f>ABS(D84-L84)/D84</f>
        <v/>
      </c>
      <c r="T84" s="35">
        <f>ABS(E84-M84)/E84</f>
        <v/>
      </c>
      <c r="U84" s="35">
        <f>ABS(F84-N84)/F84</f>
        <v/>
      </c>
      <c r="V84" s="35">
        <f>ABS(G84-O84)/G84</f>
        <v/>
      </c>
      <c r="W84" s="54" t="n"/>
      <c r="X84" s="54" t="inlineStr">
        <is>
          <t>B</t>
        </is>
      </c>
      <c r="Y84" s="54" t="n"/>
      <c r="Z84" s="54" t="n"/>
      <c r="AA84" s="54" t="n"/>
      <c r="AB84" s="54" t="n"/>
      <c r="AC84" s="54" t="n"/>
      <c r="AD84" s="54" t="n"/>
    </row>
    <row r="85">
      <c r="A85" s="54" t="inlineStr">
        <is>
          <t>GE</t>
        </is>
      </c>
      <c r="B85" s="2" t="n">
        <v>45.34</v>
      </c>
      <c r="C85" s="37" t="inlineStr">
        <is>
          <t>8,05</t>
        </is>
      </c>
      <c r="D85" s="12" t="n">
        <v>0.0808</v>
      </c>
      <c r="E85" s="12" t="n">
        <v>0.1786</v>
      </c>
      <c r="F85" s="12" t="n">
        <v>0.4543</v>
      </c>
      <c r="G85" s="12" t="n">
        <v>0.1774</v>
      </c>
      <c r="H85" s="54" t="n"/>
      <c r="I85" s="33" t="n">
        <v>44.69</v>
      </c>
      <c r="J85" s="36" t="n">
        <v>8.140000000000001</v>
      </c>
      <c r="K85" s="33" t="n">
        <v>8.19</v>
      </c>
      <c r="L85" s="35" t="n">
        <v>0.1195</v>
      </c>
      <c r="M85" s="35" t="n">
        <v>0.1786</v>
      </c>
      <c r="N85" s="35" t="n">
        <v>0.4626</v>
      </c>
      <c r="O85" s="54" t="n"/>
      <c r="P85" s="54" t="n"/>
      <c r="Q85" s="35">
        <f>ABS(B85-I85)/B85</f>
        <v/>
      </c>
      <c r="R85" s="35">
        <f>ABS(C85-J85)/C85</f>
        <v/>
      </c>
      <c r="S85" s="35">
        <f>ABS(D85-L85)/D85</f>
        <v/>
      </c>
      <c r="T85" s="35">
        <f>ABS(E85-M85)/E85</f>
        <v/>
      </c>
      <c r="U85" s="35">
        <f>ABS(F85-N85)/F85</f>
        <v/>
      </c>
      <c r="V85" s="35" t="n"/>
      <c r="W85" s="54" t="n"/>
      <c r="X85" s="54" t="inlineStr">
        <is>
          <t>B</t>
        </is>
      </c>
      <c r="Y85" s="54" t="n"/>
      <c r="Z85" s="54" t="n"/>
      <c r="AA85" s="54" t="n"/>
      <c r="AB85" s="54" t="n"/>
      <c r="AC85" s="54" t="n"/>
      <c r="AD85" s="54" t="n"/>
    </row>
    <row r="86">
      <c r="A86" s="54" t="inlineStr">
        <is>
          <t>TM</t>
        </is>
      </c>
      <c r="B86" s="2" t="n">
        <v>9.289999999999999</v>
      </c>
      <c r="C86" s="37" t="n">
        <v>295.25</v>
      </c>
      <c r="D86" s="12" t="n">
        <v>0.1319</v>
      </c>
      <c r="E86" s="12" t="n">
        <v>0.0759</v>
      </c>
      <c r="F86" s="12" t="n">
        <v>0.1023</v>
      </c>
      <c r="G86" s="12" t="n">
        <v>0.322</v>
      </c>
      <c r="H86" s="54" t="n"/>
      <c r="I86" s="54" t="n"/>
      <c r="J86" s="54" t="n"/>
      <c r="K86" s="54" t="n"/>
      <c r="L86" s="54" t="n"/>
      <c r="M86" s="54" t="n"/>
      <c r="N86" s="54" t="n"/>
      <c r="O86" s="54" t="n"/>
      <c r="P86" s="54" t="n"/>
      <c r="Q86" s="35" t="n"/>
      <c r="R86" s="35" t="n"/>
      <c r="S86" s="35" t="n"/>
      <c r="T86" s="35" t="n"/>
      <c r="U86" s="35" t="n"/>
      <c r="V86" s="35" t="n"/>
      <c r="W86" s="54" t="n"/>
      <c r="X86" s="54" t="inlineStr">
        <is>
          <t>C</t>
        </is>
      </c>
      <c r="Y86" s="54" t="inlineStr">
        <is>
          <t>SI</t>
        </is>
      </c>
      <c r="Z86" s="54" t="inlineStr">
        <is>
          <t>stale_2013-03-31</t>
        </is>
      </c>
      <c r="AA86" s="54" t="n"/>
      <c r="AB86" s="54" t="n"/>
      <c r="AC86" s="54" t="n"/>
      <c r="AD86" s="54" t="n"/>
    </row>
    <row r="87">
      <c r="A87" s="54" t="inlineStr">
        <is>
          <t>HNP</t>
        </is>
      </c>
      <c r="B87" s="2" t="n"/>
      <c r="C87" s="37" t="n"/>
      <c r="D87" s="12" t="n"/>
      <c r="E87" s="12" t="n"/>
      <c r="F87" s="12" t="n"/>
      <c r="G87" s="12" t="n"/>
      <c r="H87" s="54" t="n"/>
      <c r="I87" s="54" t="n"/>
      <c r="J87" s="54" t="n"/>
      <c r="K87" s="54" t="n"/>
      <c r="L87" s="54" t="n"/>
      <c r="M87" s="54" t="n"/>
      <c r="N87" s="54" t="n"/>
      <c r="O87" s="54" t="n"/>
      <c r="P87" s="54" t="n"/>
      <c r="Q87" s="35" t="n"/>
      <c r="R87" s="35" t="n"/>
      <c r="S87" s="35" t="n"/>
      <c r="T87" s="35" t="n"/>
      <c r="U87" s="35" t="n"/>
      <c r="V87" s="35" t="n"/>
      <c r="W87" s="54" t="n"/>
      <c r="X87" s="54" t="n"/>
      <c r="Y87" s="54" t="n"/>
      <c r="Z87" s="54" t="n"/>
      <c r="AA87" s="54" t="n"/>
      <c r="AB87" s="54" t="n"/>
      <c r="AC87" s="54" t="n"/>
      <c r="AD87" s="54" t="n"/>
    </row>
    <row r="88">
      <c r="A88" s="54" t="inlineStr">
        <is>
          <t>C</t>
        </is>
      </c>
      <c r="B88" s="37" t="n">
        <v>17.85</v>
      </c>
      <c r="C88" s="37" t="n">
        <v>6.99</v>
      </c>
      <c r="D88" s="41" t="n">
        <v>0.0813</v>
      </c>
      <c r="E88" s="41" t="n">
        <v>0.2036</v>
      </c>
      <c r="F88" s="41" t="n">
        <v>0.0765</v>
      </c>
      <c r="G88" s="41" t="n">
        <v>0.3371</v>
      </c>
      <c r="H88" s="54" t="n"/>
      <c r="I88" s="33" t="n">
        <v>18.8</v>
      </c>
      <c r="J88" s="36" t="n">
        <v>6.99</v>
      </c>
      <c r="K88" s="33" t="n">
        <v>7.64</v>
      </c>
      <c r="L88" s="35" t="n">
        <v>0.08169999999999999</v>
      </c>
      <c r="M88" s="35" t="n">
        <v>0.1679</v>
      </c>
      <c r="N88" s="35" t="n">
        <v>0.068</v>
      </c>
      <c r="O88" s="35" t="n">
        <v>0.3755</v>
      </c>
      <c r="P88" s="54" t="n"/>
      <c r="Q88" s="35">
        <f>ABS(B88-I88)/B88</f>
        <v/>
      </c>
      <c r="R88" s="35">
        <f>ABS(C88-J88)/C88</f>
        <v/>
      </c>
      <c r="S88" s="35">
        <f>ABS(D88-L88)/D88</f>
        <v/>
      </c>
      <c r="T88" s="35">
        <f>ABS(E88-M88)/E88</f>
        <v/>
      </c>
      <c r="U88" s="35">
        <f>ABS(F88-N88)/F88</f>
        <v/>
      </c>
      <c r="V88" s="35">
        <f>ABS(G88-O88)/G88</f>
        <v/>
      </c>
      <c r="W88" s="54" t="n"/>
      <c r="X88" s="54" t="inlineStr">
        <is>
          <t>C</t>
        </is>
      </c>
      <c r="Y88" s="54" t="n"/>
      <c r="Z88" s="54" t="inlineStr">
        <is>
          <t>ni_es_fy_no_ttm</t>
        </is>
      </c>
      <c r="AA88" s="54" t="n"/>
      <c r="AB88" s="54" t="n"/>
      <c r="AC88" s="54" t="n"/>
      <c r="AD88" s="54" t="n"/>
    </row>
    <row r="89">
      <c r="A89" s="54" t="inlineStr">
        <is>
          <t>JPM</t>
        </is>
      </c>
      <c r="B89" s="37" t="n">
        <v>15.93</v>
      </c>
      <c r="C89" s="37" t="inlineStr">
        <is>
          <t>20,02</t>
        </is>
      </c>
      <c r="D89" s="41" t="n">
        <v>0.1765</v>
      </c>
      <c r="E89" s="41" t="n">
        <v>0.3394</v>
      </c>
      <c r="F89" s="41" t="n">
        <v>0.1646</v>
      </c>
      <c r="G89" s="41" t="n">
        <v>0.2916</v>
      </c>
      <c r="H89" s="54" t="n"/>
      <c r="I89" s="33" t="n">
        <v>15.4</v>
      </c>
      <c r="J89" s="36" t="n">
        <v>20.02</v>
      </c>
      <c r="K89" s="33" t="n">
        <v>21.65</v>
      </c>
      <c r="L89" s="35" t="n">
        <v>0.1765</v>
      </c>
      <c r="M89" s="35" t="n">
        <v>0.3228</v>
      </c>
      <c r="N89" s="35" t="n">
        <v>0.1646</v>
      </c>
      <c r="O89" s="35" t="n">
        <v>0.2916</v>
      </c>
      <c r="P89" s="54" t="n"/>
      <c r="Q89" s="35">
        <f>ABS(B89-I89)/B89</f>
        <v/>
      </c>
      <c r="R89" s="35">
        <f>ABS(C89-J89)/C89</f>
        <v/>
      </c>
      <c r="S89" s="35">
        <f>ABS(D89-L89)/D89</f>
        <v/>
      </c>
      <c r="T89" s="35">
        <f>ABS(E89-M89)/E89</f>
        <v/>
      </c>
      <c r="U89" s="35">
        <f>ABS(F89-N89)/F89</f>
        <v/>
      </c>
      <c r="V89" s="35">
        <f>ABS(G89-O89)/G89</f>
        <v/>
      </c>
      <c r="W89" s="54" t="n"/>
      <c r="X89" s="54" t="inlineStr">
        <is>
          <t>B</t>
        </is>
      </c>
      <c r="Y89" s="54" t="n"/>
      <c r="Z89" s="54" t="n"/>
      <c r="AA89" s="54" t="n"/>
      <c r="AB89" s="54" t="n"/>
      <c r="AC89" s="54" t="n"/>
      <c r="AD89" s="54" t="n"/>
    </row>
    <row r="90">
      <c r="A90" s="54" t="inlineStr">
        <is>
          <t>BAC</t>
        </is>
      </c>
      <c r="B90" s="37" t="n">
        <v>14.3</v>
      </c>
      <c r="C90" s="37" t="n">
        <v>3.81</v>
      </c>
      <c r="D90" s="41" t="n">
        <v>0.153</v>
      </c>
      <c r="E90" s="41" t="n">
        <v>0.2896</v>
      </c>
      <c r="F90" s="41" t="n">
        <v>0.1064</v>
      </c>
      <c r="G90" s="41" t="n">
        <v>0.3037</v>
      </c>
      <c r="H90" s="54" t="n"/>
      <c r="I90" s="33" t="n">
        <v>13.49</v>
      </c>
      <c r="J90" s="36" t="n">
        <v>3.81</v>
      </c>
      <c r="K90" s="33" t="n">
        <v>4.28</v>
      </c>
      <c r="L90" s="35" t="n">
        <v>0.153</v>
      </c>
      <c r="M90" s="35" t="n">
        <v>0.2756</v>
      </c>
      <c r="N90" s="35" t="n">
        <v>0.1067</v>
      </c>
      <c r="O90" s="35" t="n">
        <v>0.045</v>
      </c>
      <c r="P90" s="54" t="n"/>
      <c r="Q90" s="35">
        <f>ABS(B90-I90)/B90</f>
        <v/>
      </c>
      <c r="R90" s="35">
        <f>ABS(C90-J90)/C90</f>
        <v/>
      </c>
      <c r="S90" s="35">
        <f>ABS(D90-L90)/D90</f>
        <v/>
      </c>
      <c r="T90" s="35">
        <f>ABS(E90-M90)/E90</f>
        <v/>
      </c>
      <c r="U90" s="35">
        <f>ABS(F90-N90)/F90</f>
        <v/>
      </c>
      <c r="V90" s="35">
        <f>ABS(G90-O90)/G90</f>
        <v/>
      </c>
      <c r="W90" s="54" t="n"/>
      <c r="X90" s="54" t="inlineStr">
        <is>
          <t>B</t>
        </is>
      </c>
      <c r="Y90" s="54" t="n"/>
      <c r="Z90" s="54" t="n"/>
      <c r="AA90" s="54" t="n"/>
      <c r="AB90" s="54" t="n"/>
      <c r="AC90" s="54" t="n"/>
      <c r="AD90" s="54" t="n"/>
    </row>
    <row r="91">
      <c r="A91" s="54" t="inlineStr">
        <is>
          <t>MRK</t>
        </is>
      </c>
      <c r="B91" s="37" t="n">
        <v>33.73</v>
      </c>
      <c r="C91" s="37" t="n">
        <v>7.28</v>
      </c>
      <c r="D91" s="41" t="n">
        <v>0.3254</v>
      </c>
      <c r="E91" s="41" t="n">
        <v>0.1359</v>
      </c>
      <c r="F91" s="41" t="n">
        <v>0.1894</v>
      </c>
      <c r="G91" s="41" t="n">
        <v>0.9212</v>
      </c>
      <c r="H91" s="54" t="n"/>
      <c r="I91" s="33" t="n">
        <v>33.37</v>
      </c>
      <c r="J91" s="36" t="n">
        <v>7.28</v>
      </c>
      <c r="K91" s="33" t="n">
        <v>3.61</v>
      </c>
      <c r="L91" s="35" t="n">
        <v>0.2123</v>
      </c>
      <c r="M91" s="35" t="n">
        <v>0.1359</v>
      </c>
      <c r="N91" s="35" t="n">
        <v>0.1897</v>
      </c>
      <c r="O91" s="35" t="n">
        <v>0.9212</v>
      </c>
      <c r="P91" s="54" t="n"/>
      <c r="Q91" s="35">
        <f>ABS(B91-I91)/B91</f>
        <v/>
      </c>
      <c r="R91" s="35">
        <f>ABS(C91-J91)/C91</f>
        <v/>
      </c>
      <c r="S91" s="35">
        <f>ABS(D91-L91)/D91</f>
        <v/>
      </c>
      <c r="T91" s="35">
        <f>ABS(E91-M91)/E91</f>
        <v/>
      </c>
      <c r="U91" s="35">
        <f>ABS(F91-N91)/F91</f>
        <v/>
      </c>
      <c r="V91" s="35">
        <f>ABS(G91-O91)/G91</f>
        <v/>
      </c>
      <c r="W91" s="54" t="n"/>
      <c r="X91" s="54" t="inlineStr">
        <is>
          <t>B</t>
        </is>
      </c>
      <c r="Y91" s="54" t="n"/>
      <c r="Z91" s="54" t="n"/>
      <c r="AA91" s="54" t="n"/>
      <c r="AB91" s="54" t="n"/>
      <c r="AC91" s="54" t="n"/>
      <c r="AD91" s="54" t="n"/>
    </row>
    <row r="92">
      <c r="A92" s="54" t="inlineStr">
        <is>
          <t>SNE</t>
        </is>
      </c>
      <c r="B92" s="37" t="n"/>
      <c r="C92" s="37" t="n"/>
      <c r="D92" s="41" t="n"/>
      <c r="E92" s="41" t="n"/>
      <c r="F92" s="41" t="n"/>
      <c r="G92" s="41" t="n"/>
      <c r="H92" s="54" t="n"/>
      <c r="I92" s="54" t="n"/>
      <c r="J92" s="54" t="n"/>
      <c r="K92" s="54" t="n"/>
      <c r="L92" s="54" t="n"/>
      <c r="M92" s="54" t="n"/>
      <c r="N92" s="54" t="n"/>
      <c r="O92" s="54" t="n"/>
      <c r="P92" s="54" t="n"/>
      <c r="Q92" s="35" t="n"/>
      <c r="R92" s="35" t="n"/>
      <c r="S92" s="35" t="n"/>
      <c r="T92" s="35" t="n"/>
      <c r="U92" s="35" t="n"/>
      <c r="V92" s="35" t="n"/>
      <c r="W92" s="54" t="n"/>
      <c r="X92" s="54" t="n"/>
      <c r="Y92" s="54" t="n"/>
      <c r="Z92" s="54" t="n"/>
      <c r="AA92" s="54" t="n"/>
      <c r="AB92" s="54" t="n"/>
      <c r="AC92" s="54" t="n"/>
      <c r="AD92" s="54" t="n"/>
    </row>
    <row r="93">
      <c r="A93" s="54" t="inlineStr">
        <is>
          <t>BBD</t>
        </is>
      </c>
      <c r="B93" s="37" t="inlineStr">
        <is>
          <t>8,05</t>
        </is>
      </c>
      <c r="C93" s="37" t="n">
        <v>2.24</v>
      </c>
      <c r="D93" s="41" t="n">
        <v>0.08599999999999999</v>
      </c>
      <c r="E93" s="41" t="n">
        <v>0.2536</v>
      </c>
      <c r="F93" s="41" t="n">
        <v>0.1337</v>
      </c>
      <c r="G93" s="41" t="n">
        <v>0.4706</v>
      </c>
      <c r="H93" s="54" t="n"/>
      <c r="I93" s="54" t="n"/>
      <c r="J93" s="54" t="n"/>
      <c r="K93" s="54" t="n"/>
      <c r="L93" s="54" t="n"/>
      <c r="M93" s="54" t="n"/>
      <c r="N93" s="54" t="n"/>
      <c r="O93" s="54" t="n"/>
      <c r="P93" s="54" t="n"/>
      <c r="Q93" s="35" t="n"/>
      <c r="R93" s="35" t="n"/>
      <c r="S93" s="35" t="n"/>
      <c r="T93" s="35" t="n"/>
      <c r="U93" s="35" t="n"/>
      <c r="V93" s="35" t="n"/>
      <c r="W93" s="54" t="n"/>
      <c r="X93" s="54" t="n"/>
      <c r="Y93" s="54" t="n"/>
      <c r="Z93" s="54" t="n"/>
      <c r="AA93" s="54" t="n"/>
      <c r="AB93" s="54" t="n"/>
      <c r="AC93" s="54" t="n"/>
      <c r="AD93" s="54" t="n"/>
    </row>
    <row r="94">
      <c r="A94" s="54" t="inlineStr">
        <is>
          <t>LLY</t>
        </is>
      </c>
      <c r="B94" s="37" t="n">
        <v>39.38</v>
      </c>
      <c r="C94" s="37" t="n">
        <v>22.95</v>
      </c>
      <c r="D94" s="41" t="n">
        <v>0.2758</v>
      </c>
      <c r="E94" s="41" t="n">
        <v>0.3499</v>
      </c>
      <c r="F94" s="41" t="n">
        <v>1.0746</v>
      </c>
      <c r="G94" s="41" t="n">
        <v>0.221</v>
      </c>
      <c r="H94" s="54" t="n"/>
      <c r="I94" s="33" t="n">
        <v>39.6</v>
      </c>
      <c r="J94" s="36" t="n">
        <v>22.95</v>
      </c>
      <c r="K94" s="33" t="n">
        <v>28.21</v>
      </c>
      <c r="L94" s="35" t="n">
        <v>0.2758</v>
      </c>
      <c r="M94" s="35" t="n">
        <v>0.3499</v>
      </c>
      <c r="N94" s="35" t="n">
        <v>1.0765</v>
      </c>
      <c r="O94" s="35" t="n">
        <v>0.221</v>
      </c>
      <c r="P94" s="54" t="n"/>
      <c r="Q94" s="35">
        <f>ABS(B94-I94)/B94</f>
        <v/>
      </c>
      <c r="R94" s="35">
        <f>ABS(C94-J94)/C94</f>
        <v/>
      </c>
      <c r="S94" s="35">
        <f>ABS(D94-L94)/D94</f>
        <v/>
      </c>
      <c r="T94" s="35">
        <f>ABS(E94-M94)/E94</f>
        <v/>
      </c>
      <c r="U94" s="35">
        <f>ABS(F94-N94)/F94</f>
        <v/>
      </c>
      <c r="V94" s="35">
        <f>ABS(G94-O94)/G94</f>
        <v/>
      </c>
      <c r="W94" s="54" t="n"/>
      <c r="X94" s="54" t="inlineStr">
        <is>
          <t>B</t>
        </is>
      </c>
      <c r="Y94" s="54" t="n"/>
      <c r="Z94" s="54" t="n"/>
      <c r="AA94" s="54" t="n"/>
      <c r="AB94" s="54" t="n"/>
      <c r="AC94" s="54" t="n"/>
      <c r="AD94" s="54" t="n"/>
    </row>
    <row r="95">
      <c r="A95" s="54" t="inlineStr">
        <is>
          <t>KB</t>
        </is>
      </c>
      <c r="B95" s="37" t="n">
        <v>9.92</v>
      </c>
      <c r="C95" s="37" t="n">
        <v>15.261</v>
      </c>
      <c r="D95" s="41" t="n">
        <v>0.119</v>
      </c>
      <c r="E95" s="41" t="n">
        <v>0.3658</v>
      </c>
      <c r="F95" s="41" t="n">
        <v>0.0999</v>
      </c>
      <c r="G95" s="41" t="n">
        <v>0.2488</v>
      </c>
      <c r="H95" s="54" t="n"/>
      <c r="I95" s="54" t="n"/>
      <c r="J95" s="54" t="n"/>
      <c r="K95" s="54" t="n"/>
      <c r="L95" s="54" t="n"/>
      <c r="M95" s="54" t="n"/>
      <c r="N95" s="54" t="n"/>
      <c r="O95" s="54" t="n"/>
      <c r="P95" s="54" t="n"/>
      <c r="Q95" s="35" t="n"/>
      <c r="R95" s="35" t="n"/>
      <c r="S95" s="35" t="n"/>
      <c r="T95" s="35" t="n"/>
      <c r="U95" s="35" t="n"/>
      <c r="V95" s="35" t="n"/>
      <c r="W95" s="54" t="n"/>
      <c r="X95" s="54" t="inlineStr">
        <is>
          <t>C</t>
        </is>
      </c>
      <c r="Y95" s="54" t="inlineStr">
        <is>
          <t>SI</t>
        </is>
      </c>
      <c r="Z95" s="54" t="inlineStr">
        <is>
          <t>stale_2010-12-31</t>
        </is>
      </c>
      <c r="AA95" s="54" t="n"/>
      <c r="AB95" s="54" t="n"/>
      <c r="AC95" s="54" t="n"/>
      <c r="AD95" s="54" t="n"/>
    </row>
    <row r="96">
      <c r="A96" s="54" t="inlineStr">
        <is>
          <t>CS</t>
        </is>
      </c>
      <c r="B96" s="37" t="n"/>
      <c r="C96" s="37" t="n"/>
      <c r="D96" s="41" t="n"/>
      <c r="E96" s="41" t="n"/>
      <c r="F96" s="41" t="n"/>
      <c r="G96" s="41" t="n"/>
      <c r="H96" s="54" t="n"/>
      <c r="I96" s="54" t="n"/>
      <c r="J96" s="54" t="n"/>
      <c r="K96" s="54" t="n"/>
      <c r="L96" s="54" t="n"/>
      <c r="M96" s="54" t="n"/>
      <c r="N96" s="54" t="n"/>
      <c r="O96" s="54" t="n"/>
      <c r="P96" s="54" t="n"/>
      <c r="Q96" s="35" t="n"/>
      <c r="R96" s="35" t="n"/>
      <c r="S96" s="35" t="n"/>
      <c r="T96" s="35" t="n"/>
      <c r="U96" s="35" t="n"/>
      <c r="V96" s="35" t="n"/>
      <c r="W96" s="54" t="n"/>
      <c r="X96" s="54" t="n"/>
      <c r="Y96" s="54" t="n"/>
      <c r="Z96" s="54" t="n"/>
      <c r="AA96" s="54" t="n"/>
      <c r="AB96" s="54" t="n"/>
      <c r="AC96" s="54" t="n"/>
      <c r="AD96" s="54" t="n"/>
    </row>
    <row r="97">
      <c r="A97" s="54" t="inlineStr">
        <is>
          <t>VZ</t>
        </is>
      </c>
      <c r="B97" s="37" t="n">
        <v>11.08</v>
      </c>
      <c r="C97" s="37" t="inlineStr">
        <is>
          <t>4,06</t>
        </is>
      </c>
      <c r="D97" s="41" t="n">
        <v>-0.0114</v>
      </c>
      <c r="E97" s="41" t="n">
        <v>0.1246</v>
      </c>
      <c r="F97" s="41" t="n">
        <v>0.172</v>
      </c>
      <c r="G97" s="41" t="n">
        <v>0.6652</v>
      </c>
      <c r="H97" s="54" t="n"/>
      <c r="I97" s="33" t="n">
        <v>11.09</v>
      </c>
      <c r="J97" s="36" t="n">
        <v>4.06</v>
      </c>
      <c r="K97" s="33" t="n">
        <v>4.12</v>
      </c>
      <c r="L97" s="35" t="n">
        <v>-0.0114</v>
      </c>
      <c r="M97" s="35" t="n">
        <v>0.1246</v>
      </c>
      <c r="N97" s="54" t="n"/>
      <c r="O97" s="35" t="n">
        <v>0.6652</v>
      </c>
      <c r="P97" s="54" t="n"/>
      <c r="Q97" s="35">
        <f>ABS(B97-I97)/B97</f>
        <v/>
      </c>
      <c r="R97" s="35">
        <f>ABS(C97-J97)/C97</f>
        <v/>
      </c>
      <c r="S97" s="35">
        <f>ABS(D97-L97)/D97</f>
        <v/>
      </c>
      <c r="T97" s="35">
        <f>ABS(E97-M97)/E97</f>
        <v/>
      </c>
      <c r="U97" s="35" t="n"/>
      <c r="V97" s="35">
        <f>ABS(G97-O97)/G97</f>
        <v/>
      </c>
      <c r="W97" s="54" t="n"/>
      <c r="X97" s="54" t="inlineStr">
        <is>
          <t>B</t>
        </is>
      </c>
      <c r="Y97" s="54" t="n"/>
      <c r="Z97" s="54" t="n"/>
      <c r="AA97" s="54" t="n"/>
      <c r="AB97" s="54" t="n"/>
      <c r="AC97" s="54" t="n"/>
      <c r="AD97" s="54" t="n"/>
    </row>
    <row r="98">
      <c r="A98" s="54" t="inlineStr">
        <is>
          <t>WBK</t>
        </is>
      </c>
      <c r="B98" s="37" t="n"/>
      <c r="C98" s="37" t="n"/>
      <c r="D98" s="41" t="n"/>
      <c r="E98" s="41" t="n"/>
      <c r="F98" s="41" t="n"/>
      <c r="G98" s="41" t="n"/>
      <c r="H98" s="54" t="n"/>
      <c r="I98" s="54" t="n"/>
      <c r="J98" s="54" t="n"/>
      <c r="K98" s="54" t="n"/>
      <c r="L98" s="54" t="n"/>
      <c r="M98" s="54" t="n"/>
      <c r="N98" s="54" t="n"/>
      <c r="O98" s="54" t="n"/>
      <c r="P98" s="54" t="n"/>
      <c r="Q98" s="35" t="n"/>
      <c r="R98" s="35" t="n"/>
      <c r="S98" s="35" t="n"/>
      <c r="T98" s="35" t="n"/>
      <c r="U98" s="35" t="n"/>
      <c r="V98" s="35" t="n"/>
      <c r="W98" s="54" t="n"/>
      <c r="X98" s="54" t="n"/>
      <c r="Y98" s="54" t="n"/>
      <c r="Z98" s="54" t="n"/>
      <c r="AA98" s="54" t="n"/>
      <c r="AB98" s="54" t="n"/>
      <c r="AC98" s="54" t="n"/>
      <c r="AD98" s="54" t="n"/>
    </row>
    <row r="99">
      <c r="A99" s="54" t="inlineStr">
        <is>
          <t>HWM</t>
        </is>
      </c>
      <c r="B99" s="37" t="n">
        <v>64.13</v>
      </c>
      <c r="C99" s="37" t="n">
        <v>3.71</v>
      </c>
      <c r="D99" s="41" t="n">
        <v>0.5053</v>
      </c>
      <c r="E99" s="41" t="n">
        <v>0.2022</v>
      </c>
      <c r="F99" s="41" t="n">
        <v>0.3382</v>
      </c>
      <c r="G99" s="41" t="n">
        <v>0.1072</v>
      </c>
      <c r="H99" s="54" t="n"/>
      <c r="I99" s="33" t="n">
        <v>63.79</v>
      </c>
      <c r="J99" s="36" t="n">
        <v>3.71</v>
      </c>
      <c r="K99" s="33" t="n">
        <v>4.33</v>
      </c>
      <c r="L99" s="35" t="n">
        <v>0.2921</v>
      </c>
      <c r="M99" s="35" t="n">
        <v>0.2022</v>
      </c>
      <c r="N99" s="35" t="n">
        <v>0.3382</v>
      </c>
      <c r="O99" s="35" t="n">
        <v>0.1307</v>
      </c>
      <c r="P99" s="54" t="n"/>
      <c r="Q99" s="35">
        <f>ABS(B99-I99)/B99</f>
        <v/>
      </c>
      <c r="R99" s="35">
        <f>ABS(C99-J99)/C99</f>
        <v/>
      </c>
      <c r="S99" s="35">
        <f>ABS(D99-L99)/D99</f>
        <v/>
      </c>
      <c r="T99" s="35">
        <f>ABS(E99-M99)/E99</f>
        <v/>
      </c>
      <c r="U99" s="35">
        <f>ABS(F99-N99)/F99</f>
        <v/>
      </c>
      <c r="V99" s="35">
        <f>ABS(G99-O99)/G99</f>
        <v/>
      </c>
      <c r="W99" s="54" t="n"/>
      <c r="X99" s="54" t="inlineStr">
        <is>
          <t>B</t>
        </is>
      </c>
      <c r="Y99" s="54" t="n"/>
      <c r="Z99" s="54" t="n"/>
      <c r="AA99" s="54" t="n"/>
      <c r="AB99" s="54" t="n"/>
      <c r="AC99" s="54" t="n"/>
      <c r="AD99" s="54" t="n"/>
    </row>
    <row r="100">
      <c r="A100" s="54" t="inlineStr">
        <is>
          <t>ING</t>
        </is>
      </c>
      <c r="B100" s="37" t="n">
        <v>9.6</v>
      </c>
      <c r="C100" s="37" t="n">
        <v>2.78</v>
      </c>
      <c r="D100" s="41" t="n">
        <v>0.3695</v>
      </c>
      <c r="E100" s="41" t="n">
        <v>0.3423</v>
      </c>
      <c r="F100" s="41" t="n">
        <v>0.1657</v>
      </c>
      <c r="G100" s="41" t="n">
        <v>0.4666</v>
      </c>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4" t="n"/>
      <c r="AA100" s="54" t="n"/>
      <c r="AB100" s="54" t="n"/>
      <c r="AC100" s="54" t="n"/>
      <c r="AD100" s="54" t="n"/>
    </row>
    <row r="101">
      <c r="A101" s="54" t="inlineStr">
        <is>
          <t>NMR</t>
        </is>
      </c>
      <c r="B101" s="37" t="n">
        <v>11.77</v>
      </c>
      <c r="C101" s="37" t="n">
        <v>118.99</v>
      </c>
      <c r="D101" s="41" t="n">
        <v>0.196</v>
      </c>
      <c r="E101" s="41" t="n">
        <v>0.1671</v>
      </c>
      <c r="F101" s="41" t="n">
        <v>0.1007</v>
      </c>
      <c r="G101" s="41" t="n">
        <v>0.4963</v>
      </c>
      <c r="H101" s="54" t="n"/>
      <c r="I101" s="54" t="n"/>
      <c r="J101" s="54" t="n"/>
      <c r="K101" s="54" t="n"/>
      <c r="L101" s="54" t="n"/>
      <c r="M101" s="54" t="n"/>
      <c r="N101" s="54" t="n"/>
      <c r="O101" s="54" t="n"/>
      <c r="P101" s="54" t="n"/>
      <c r="Q101" s="54" t="n"/>
      <c r="R101" s="54" t="n"/>
      <c r="S101" s="54" t="n"/>
      <c r="T101" s="54" t="n"/>
      <c r="U101" s="54" t="n"/>
      <c r="V101" s="54" t="n"/>
      <c r="W101" s="54" t="n"/>
      <c r="X101" s="54" t="inlineStr">
        <is>
          <t>C</t>
        </is>
      </c>
      <c r="Y101" s="54" t="inlineStr">
        <is>
          <t>SI</t>
        </is>
      </c>
      <c r="Z101" s="54" t="inlineStr">
        <is>
          <t>shares_descartadas_escala</t>
        </is>
      </c>
      <c r="AA101" s="54" t="n"/>
      <c r="AB101" s="54" t="n"/>
      <c r="AC101" s="54" t="n"/>
      <c r="AD101" s="54" t="n"/>
    </row>
    <row r="102">
      <c r="B102" s="37" t="n"/>
      <c r="C102" s="37" t="n"/>
      <c r="D102" s="41" t="n"/>
      <c r="E102" s="41" t="n"/>
      <c r="F102" s="41" t="n"/>
      <c r="G102" s="41" t="n"/>
    </row>
    <row r="103">
      <c r="B103" s="37" t="n"/>
      <c r="C103" s="37" t="n"/>
      <c r="D103" s="41" t="n"/>
      <c r="E103" s="41" t="n"/>
      <c r="F103" s="41" t="n"/>
      <c r="G103" s="41" t="n"/>
    </row>
    <row r="104">
      <c r="B104" s="37" t="n"/>
      <c r="C104" s="37" t="n"/>
      <c r="D104" s="41" t="n"/>
      <c r="E104" s="41" t="n"/>
      <c r="F104" s="41" t="n"/>
      <c r="G104" s="41" t="n"/>
    </row>
    <row r="105">
      <c r="B105" s="37" t="n"/>
      <c r="C105" s="37" t="n"/>
      <c r="D105" s="41" t="n"/>
      <c r="E105" s="41" t="n"/>
      <c r="F105" s="41" t="n"/>
      <c r="G105" s="41" t="n"/>
    </row>
    <row r="106">
      <c r="B106" s="37" t="n"/>
      <c r="C106" s="37" t="n"/>
      <c r="D106" s="41" t="n"/>
      <c r="E106" s="41" t="n"/>
      <c r="F106" s="41" t="n"/>
      <c r="G106" s="41" t="n"/>
    </row>
    <row r="107">
      <c r="C107" s="37" t="n"/>
    </row>
    <row r="108">
      <c r="C108" s="37" t="n"/>
    </row>
    <row r="109">
      <c r="C109" s="37" t="n"/>
    </row>
    <row r="110">
      <c r="C110" s="37" t="n"/>
    </row>
    <row r="111">
      <c r="C111" s="37" t="n"/>
    </row>
    <row r="112">
      <c r="C112" s="37" t="n"/>
    </row>
    <row r="113">
      <c r="C113" s="37" t="n"/>
    </row>
    <row r="114">
      <c r="C114" s="37" t="n"/>
    </row>
    <row r="115">
      <c r="C115" s="37" t="n"/>
    </row>
    <row r="116">
      <c r="C116" s="37" t="n"/>
    </row>
    <row r="117">
      <c r="C117" s="37" t="n"/>
    </row>
    <row r="118">
      <c r="C118" s="37" t="n"/>
    </row>
    <row r="119">
      <c r="C119" s="37" t="n"/>
    </row>
    <row r="120">
      <c r="C120" s="37" t="n"/>
    </row>
    <row r="121">
      <c r="C121" s="37" t="n"/>
    </row>
    <row r="122">
      <c r="C122" s="37" t="n"/>
    </row>
    <row r="123">
      <c r="C123" s="37" t="n"/>
    </row>
    <row r="124">
      <c r="C124" s="37" t="n"/>
    </row>
    <row r="125">
      <c r="C125" s="37" t="n"/>
    </row>
    <row r="126">
      <c r="C126" s="37" t="n"/>
    </row>
    <row r="127">
      <c r="C127" s="37" t="n"/>
    </row>
    <row r="128">
      <c r="C128" s="37" t="n"/>
    </row>
    <row r="129">
      <c r="C129" s="37" t="n"/>
    </row>
    <row r="130">
      <c r="C130" s="37" t="n"/>
    </row>
    <row r="131">
      <c r="C131" s="37" t="n"/>
    </row>
    <row r="132">
      <c r="C132" s="37" t="n"/>
    </row>
    <row r="133">
      <c r="C133" s="37" t="n"/>
    </row>
    <row r="134">
      <c r="C134" s="37" t="n"/>
    </row>
    <row r="135">
      <c r="C135" s="37" t="n"/>
    </row>
    <row r="136">
      <c r="C136" s="37" t="n"/>
    </row>
    <row r="137">
      <c r="C137" s="37" t="n"/>
    </row>
    <row r="138">
      <c r="C138" s="37" t="n"/>
    </row>
    <row r="139">
      <c r="C139" s="37" t="n"/>
    </row>
    <row r="140">
      <c r="C140" s="37" t="n"/>
    </row>
    <row r="141">
      <c r="C141" s="37" t="n"/>
    </row>
    <row r="142">
      <c r="C142" s="37" t="n"/>
    </row>
    <row r="143">
      <c r="C143" s="37" t="n"/>
    </row>
    <row r="144">
      <c r="C144" s="37" t="n"/>
    </row>
    <row r="145">
      <c r="C145" s="37" t="n"/>
    </row>
    <row r="146">
      <c r="C146" s="37" t="n"/>
    </row>
    <row r="147">
      <c r="C147" s="37" t="n"/>
    </row>
    <row r="148">
      <c r="C148" s="37" t="n"/>
    </row>
    <row r="149">
      <c r="C149" s="37" t="n"/>
    </row>
    <row r="150">
      <c r="C150" s="37" t="n"/>
    </row>
    <row r="151">
      <c r="C151" s="37" t="n"/>
    </row>
    <row r="152">
      <c r="C152" s="37" t="n"/>
    </row>
    <row r="153">
      <c r="C153" s="37" t="n"/>
    </row>
    <row r="154">
      <c r="C154" s="37" t="n"/>
    </row>
    <row r="155">
      <c r="C155" s="37" t="n"/>
    </row>
    <row r="156">
      <c r="C156" s="37" t="n"/>
    </row>
    <row r="157">
      <c r="C157" s="37" t="n"/>
    </row>
    <row r="158">
      <c r="C158" s="37" t="n"/>
    </row>
    <row r="159">
      <c r="C159" s="37" t="n"/>
    </row>
    <row r="160">
      <c r="C160" s="37" t="n"/>
    </row>
    <row r="161">
      <c r="C161" s="37" t="n"/>
    </row>
    <row r="162">
      <c r="C162" s="37" t="n"/>
    </row>
    <row r="163">
      <c r="C163" s="37" t="n"/>
    </row>
    <row r="164">
      <c r="C164" s="37" t="n"/>
    </row>
    <row r="165">
      <c r="C165" s="37" t="n"/>
    </row>
    <row r="166">
      <c r="C166" s="37" t="n"/>
    </row>
    <row r="167">
      <c r="C167" s="37" t="n"/>
    </row>
    <row r="168">
      <c r="C168" s="37" t="n"/>
    </row>
    <row r="169">
      <c r="C169" s="37" t="n"/>
    </row>
    <row r="170">
      <c r="C170" s="37" t="n"/>
    </row>
    <row r="171">
      <c r="C171" s="37" t="n"/>
    </row>
    <row r="172">
      <c r="C172" s="37" t="n"/>
    </row>
    <row r="173">
      <c r="C173" s="37" t="n"/>
    </row>
    <row r="174">
      <c r="C174" s="37" t="n"/>
    </row>
    <row r="175">
      <c r="C175" s="37" t="n"/>
    </row>
    <row r="176">
      <c r="C176" s="37" t="n"/>
    </row>
    <row r="177">
      <c r="C177" s="37" t="n"/>
    </row>
    <row r="178">
      <c r="C178" s="37" t="n"/>
    </row>
    <row r="179">
      <c r="C179" s="37" t="n"/>
    </row>
    <row r="180">
      <c r="C180" s="37" t="n"/>
    </row>
    <row r="181">
      <c r="C181" s="37" t="n"/>
    </row>
    <row r="182">
      <c r="C182" s="37" t="n"/>
    </row>
    <row r="183">
      <c r="C183" s="37" t="n"/>
    </row>
    <row r="184">
      <c r="C184" s="37" t="n"/>
    </row>
    <row r="185">
      <c r="C185" s="37" t="n"/>
    </row>
    <row r="186">
      <c r="C186" s="37" t="n"/>
    </row>
    <row r="187">
      <c r="C187" s="37" t="n"/>
    </row>
    <row r="188">
      <c r="C188" s="37" t="n"/>
    </row>
    <row r="189">
      <c r="C189" s="37" t="n"/>
    </row>
    <row r="190">
      <c r="C190" s="37" t="n"/>
    </row>
    <row r="191">
      <c r="C191" s="37" t="n"/>
    </row>
    <row r="192">
      <c r="C192" s="37" t="n"/>
    </row>
    <row r="193">
      <c r="C193" s="37" t="n"/>
    </row>
    <row r="194">
      <c r="C194" s="37" t="n"/>
    </row>
    <row r="195">
      <c r="C195" s="37" t="n"/>
    </row>
    <row r="196">
      <c r="C196" s="37" t="n"/>
    </row>
    <row r="197">
      <c r="C197" s="37" t="n"/>
    </row>
    <row r="198">
      <c r="C198" s="37" t="n"/>
    </row>
    <row r="199">
      <c r="C199" s="37" t="n"/>
    </row>
    <row r="200">
      <c r="C200" s="37" t="n"/>
    </row>
    <row r="201">
      <c r="C201" s="37" t="n"/>
    </row>
    <row r="202">
      <c r="C202" s="37" t="n"/>
    </row>
    <row r="203">
      <c r="C203" s="37" t="n"/>
    </row>
    <row r="204">
      <c r="C204" s="37" t="n"/>
    </row>
    <row r="205">
      <c r="C205" s="37" t="n"/>
    </row>
    <row r="206">
      <c r="C206" s="37" t="n"/>
    </row>
    <row r="207">
      <c r="C207" s="37" t="n"/>
    </row>
    <row r="208">
      <c r="C208" s="37" t="n"/>
    </row>
    <row r="209">
      <c r="C209" s="37" t="n"/>
    </row>
    <row r="210">
      <c r="C210" s="37" t="n"/>
    </row>
    <row r="211">
      <c r="C211" s="37" t="n"/>
    </row>
    <row r="212">
      <c r="C212" s="37" t="n"/>
    </row>
    <row r="213">
      <c r="C213" s="37" t="n"/>
    </row>
    <row r="214">
      <c r="C214" s="37" t="n"/>
    </row>
    <row r="215">
      <c r="C215" s="37" t="n"/>
    </row>
    <row r="216">
      <c r="C216" s="37" t="n"/>
    </row>
    <row r="217">
      <c r="C217" s="37" t="n"/>
    </row>
    <row r="218">
      <c r="C218" s="37" t="n"/>
    </row>
    <row r="219">
      <c r="C219" s="37" t="n"/>
    </row>
    <row r="220">
      <c r="C220" s="37" t="n"/>
    </row>
    <row r="221">
      <c r="C221" s="37" t="n"/>
    </row>
    <row r="222">
      <c r="C222" s="37" t="n"/>
    </row>
    <row r="223">
      <c r="C223" s="37" t="n"/>
    </row>
    <row r="224">
      <c r="C224" s="37" t="n"/>
    </row>
    <row r="225">
      <c r="C225" s="37" t="n"/>
    </row>
    <row r="226">
      <c r="C226" s="37" t="n"/>
    </row>
    <row r="227">
      <c r="C227" s="37" t="n"/>
    </row>
    <row r="228">
      <c r="C228" s="37" t="n"/>
    </row>
    <row r="229">
      <c r="C229" s="37" t="n"/>
    </row>
    <row r="230">
      <c r="C230" s="37" t="n"/>
    </row>
    <row r="231">
      <c r="C231" s="37" t="n"/>
    </row>
    <row r="232">
      <c r="C232" s="37" t="n"/>
    </row>
    <row r="233">
      <c r="C233" s="37" t="n"/>
    </row>
    <row r="234">
      <c r="C234" s="37" t="n"/>
    </row>
    <row r="235">
      <c r="C235" s="37" t="n"/>
    </row>
    <row r="236">
      <c r="C236" s="37" t="n"/>
    </row>
    <row r="237">
      <c r="C237" s="37" t="n"/>
    </row>
    <row r="238">
      <c r="C238" s="37" t="n"/>
    </row>
    <row r="239">
      <c r="C239" s="37" t="n"/>
    </row>
    <row r="240">
      <c r="C240" s="37" t="n"/>
    </row>
    <row r="241">
      <c r="C241" s="37" t="n"/>
    </row>
    <row r="242">
      <c r="C242" s="37" t="n"/>
    </row>
    <row r="243">
      <c r="C243" s="37" t="n"/>
    </row>
    <row r="244">
      <c r="C244" s="37" t="n"/>
    </row>
    <row r="245">
      <c r="C245" s="37" t="n"/>
    </row>
    <row r="246">
      <c r="C246" s="37" t="n"/>
    </row>
    <row r="247">
      <c r="C247" s="37" t="n"/>
    </row>
    <row r="248">
      <c r="C248" s="37" t="n"/>
    </row>
    <row r="249">
      <c r="C249" s="37" t="n"/>
    </row>
    <row r="250">
      <c r="C250" s="37" t="n"/>
    </row>
    <row r="251">
      <c r="C251" s="37" t="n"/>
    </row>
    <row r="252">
      <c r="C252" s="37" t="n"/>
    </row>
    <row r="253">
      <c r="C253" s="37" t="n"/>
    </row>
    <row r="254">
      <c r="C254" s="37" t="n"/>
    </row>
    <row r="255">
      <c r="C255" s="37" t="n"/>
    </row>
    <row r="256">
      <c r="C256" s="37" t="n"/>
    </row>
    <row r="257">
      <c r="C257" s="37" t="n"/>
    </row>
    <row r="258">
      <c r="C258" s="37" t="n"/>
    </row>
    <row r="259">
      <c r="C259" s="37" t="n"/>
    </row>
    <row r="260">
      <c r="C260" s="37" t="n"/>
    </row>
    <row r="261">
      <c r="C261" s="37" t="n"/>
    </row>
    <row r="262">
      <c r="C262" s="37" t="n"/>
    </row>
    <row r="263">
      <c r="C263" s="37" t="n"/>
    </row>
    <row r="264">
      <c r="C264" s="37" t="n"/>
    </row>
    <row r="265">
      <c r="C265" s="37" t="n"/>
    </row>
    <row r="266">
      <c r="C266" s="37" t="n"/>
    </row>
    <row r="267">
      <c r="C267" s="37" t="n"/>
    </row>
    <row r="268">
      <c r="C268" s="37" t="n"/>
    </row>
    <row r="269">
      <c r="C269" s="37" t="n"/>
    </row>
    <row r="270">
      <c r="C270" s="37" t="n"/>
    </row>
    <row r="271">
      <c r="C271" s="37" t="n"/>
    </row>
    <row r="272">
      <c r="C272" s="37" t="n"/>
    </row>
    <row r="273">
      <c r="C273" s="37" t="n"/>
    </row>
    <row r="274">
      <c r="C274" s="37" t="n"/>
    </row>
    <row r="275">
      <c r="C275" s="37" t="n"/>
    </row>
    <row r="276">
      <c r="C276" s="37" t="n"/>
    </row>
    <row r="277">
      <c r="C277" s="37" t="n"/>
    </row>
    <row r="278">
      <c r="C278" s="37" t="n"/>
    </row>
    <row r="279">
      <c r="C279" s="37" t="n"/>
    </row>
    <row r="280">
      <c r="C280" s="37" t="n"/>
    </row>
    <row r="281">
      <c r="C281" s="37" t="n"/>
    </row>
    <row r="282">
      <c r="C282" s="37" t="n"/>
    </row>
    <row r="283">
      <c r="C283" s="37" t="n"/>
    </row>
    <row r="284">
      <c r="C284" s="37" t="n"/>
    </row>
    <row r="285">
      <c r="C285" s="37" t="n"/>
    </row>
    <row r="286">
      <c r="C286" s="37" t="n"/>
    </row>
    <row r="287">
      <c r="C287" s="37" t="n"/>
    </row>
    <row r="288">
      <c r="C288" s="37" t="n"/>
    </row>
    <row r="289">
      <c r="C289" s="37" t="n"/>
    </row>
    <row r="290">
      <c r="C290" s="37" t="n"/>
    </row>
    <row r="291">
      <c r="C291" s="37" t="n"/>
    </row>
    <row r="292">
      <c r="C292" s="37" t="n"/>
    </row>
    <row r="293">
      <c r="C293" s="37" t="n"/>
    </row>
    <row r="294">
      <c r="C294" s="37" t="n"/>
    </row>
    <row r="295">
      <c r="C295" s="37" t="n"/>
    </row>
    <row r="296">
      <c r="C296" s="37" t="n"/>
    </row>
    <row r="297">
      <c r="C297" s="37" t="n"/>
    </row>
    <row r="298">
      <c r="C298" s="37" t="n"/>
    </row>
    <row r="299">
      <c r="C299" s="37" t="n"/>
    </row>
    <row r="300">
      <c r="C300" s="37" t="n"/>
    </row>
    <row r="301">
      <c r="C301" s="37" t="n"/>
    </row>
    <row r="302">
      <c r="C302" s="37" t="n"/>
    </row>
    <row r="303">
      <c r="C303" s="37" t="n"/>
    </row>
    <row r="304">
      <c r="C304" s="37" t="n"/>
    </row>
    <row r="305">
      <c r="C305" s="37" t="n"/>
    </row>
    <row r="306">
      <c r="C306" s="37" t="n"/>
    </row>
    <row r="307">
      <c r="C307" s="37" t="n"/>
    </row>
    <row r="308">
      <c r="C308" s="37" t="n"/>
    </row>
    <row r="309">
      <c r="C309" s="37" t="n"/>
    </row>
    <row r="310">
      <c r="C310" s="37" t="n"/>
    </row>
    <row r="311">
      <c r="C311" s="37" t="n"/>
    </row>
    <row r="312">
      <c r="C312" s="37" t="n"/>
    </row>
    <row r="313">
      <c r="C313" s="37" t="n"/>
    </row>
    <row r="314">
      <c r="C314" s="37" t="n"/>
    </row>
    <row r="315">
      <c r="C315" s="37" t="n"/>
    </row>
    <row r="316">
      <c r="C316" s="37" t="n"/>
    </row>
    <row r="317">
      <c r="C317" s="37" t="n"/>
    </row>
    <row r="318">
      <c r="C318" s="37" t="n"/>
    </row>
    <row r="319">
      <c r="C319" s="37" t="n"/>
    </row>
    <row r="320">
      <c r="C320" s="37" t="n"/>
    </row>
    <row r="321">
      <c r="C321" s="37" t="n"/>
    </row>
    <row r="322">
      <c r="C322" s="37" t="n"/>
    </row>
    <row r="323">
      <c r="C323" s="37" t="n"/>
    </row>
    <row r="324">
      <c r="C324" s="37" t="n"/>
    </row>
    <row r="325">
      <c r="C325" s="37" t="n"/>
    </row>
    <row r="326">
      <c r="C326" s="37" t="n"/>
    </row>
    <row r="327">
      <c r="C327" s="37" t="n"/>
    </row>
    <row r="328">
      <c r="C328" s="37" t="n"/>
    </row>
    <row r="329">
      <c r="C329" s="37" t="n"/>
    </row>
    <row r="330">
      <c r="C330" s="37" t="n"/>
    </row>
    <row r="331">
      <c r="C331" s="37" t="n"/>
    </row>
    <row r="332">
      <c r="C332" s="37" t="n"/>
    </row>
    <row r="333">
      <c r="C333" s="37" t="n"/>
    </row>
    <row r="334">
      <c r="C334" s="37" t="n"/>
    </row>
    <row r="335">
      <c r="C335" s="37" t="n"/>
    </row>
    <row r="336">
      <c r="C336" s="37" t="n"/>
    </row>
    <row r="337">
      <c r="C337" s="37" t="n"/>
    </row>
    <row r="338">
      <c r="C338" s="37" t="n"/>
    </row>
    <row r="339">
      <c r="C339" s="37" t="n"/>
    </row>
    <row r="340">
      <c r="C340" s="37" t="n"/>
    </row>
    <row r="341">
      <c r="C341" s="37" t="n"/>
    </row>
    <row r="342">
      <c r="C342" s="37" t="n"/>
    </row>
    <row r="343">
      <c r="C343" s="37" t="n"/>
    </row>
    <row r="344">
      <c r="C344" s="37" t="n"/>
    </row>
    <row r="345">
      <c r="C345" s="37" t="n"/>
    </row>
    <row r="346">
      <c r="C346" s="37" t="n"/>
    </row>
    <row r="347">
      <c r="C347" s="37" t="n"/>
    </row>
    <row r="348">
      <c r="C348" s="37" t="n"/>
    </row>
    <row r="349">
      <c r="C349" s="37" t="n"/>
    </row>
    <row r="350">
      <c r="C350" s="37" t="n"/>
    </row>
    <row r="351">
      <c r="C351" s="37" t="n"/>
    </row>
    <row r="352">
      <c r="C352" s="37" t="n"/>
    </row>
    <row r="353">
      <c r="C353" s="37" t="n"/>
    </row>
    <row r="354">
      <c r="C354" s="37" t="n"/>
    </row>
    <row r="355">
      <c r="C355" s="37" t="n"/>
    </row>
    <row r="356">
      <c r="C356" s="37" t="n"/>
    </row>
    <row r="357">
      <c r="C357" s="37" t="n"/>
    </row>
    <row r="358">
      <c r="C358" s="37" t="n"/>
    </row>
    <row r="359">
      <c r="C359" s="37" t="n"/>
    </row>
    <row r="360">
      <c r="C360" s="37" t="n"/>
    </row>
    <row r="361">
      <c r="C361" s="37" t="n"/>
    </row>
    <row r="362">
      <c r="C362" s="37" t="n"/>
    </row>
    <row r="363">
      <c r="C363" s="37" t="n"/>
    </row>
    <row r="364">
      <c r="C364" s="37" t="n"/>
    </row>
    <row r="365">
      <c r="C365" s="37" t="n"/>
    </row>
    <row r="366">
      <c r="C366" s="37" t="n"/>
    </row>
    <row r="367">
      <c r="C367" s="37" t="n"/>
    </row>
    <row r="368">
      <c r="C368" s="37" t="n"/>
    </row>
    <row r="369">
      <c r="C369" s="37" t="n"/>
    </row>
    <row r="370">
      <c r="C370" s="37" t="n"/>
    </row>
    <row r="371">
      <c r="C371" s="37" t="n"/>
    </row>
    <row r="372">
      <c r="C372" s="37" t="n"/>
    </row>
    <row r="373">
      <c r="C373" s="37" t="n"/>
    </row>
    <row r="374">
      <c r="C374" s="37" t="n"/>
    </row>
    <row r="375">
      <c r="C375" s="37" t="n"/>
    </row>
    <row r="376">
      <c r="C376" s="37" t="n"/>
    </row>
    <row r="377">
      <c r="C377" s="37" t="n"/>
    </row>
    <row r="378">
      <c r="C378" s="37" t="n"/>
    </row>
    <row r="379">
      <c r="C379" s="37" t="n"/>
    </row>
    <row r="380">
      <c r="C380" s="37" t="n"/>
    </row>
    <row r="381">
      <c r="C381" s="37" t="n"/>
    </row>
    <row r="382">
      <c r="C382" s="37" t="n"/>
    </row>
    <row r="383">
      <c r="C383" s="37" t="n"/>
    </row>
    <row r="384">
      <c r="C384" s="37" t="n"/>
    </row>
    <row r="385">
      <c r="C385" s="37" t="n"/>
    </row>
    <row r="386">
      <c r="C386" s="37" t="n"/>
    </row>
    <row r="387">
      <c r="C387" s="37" t="n"/>
    </row>
    <row r="388">
      <c r="C388" s="37" t="n"/>
    </row>
    <row r="389">
      <c r="C389" s="37" t="n"/>
    </row>
    <row r="390">
      <c r="C390" s="37" t="n"/>
    </row>
    <row r="391">
      <c r="C391" s="37" t="n"/>
    </row>
    <row r="392">
      <c r="C392" s="37" t="n"/>
    </row>
    <row r="393">
      <c r="C393" s="37" t="n"/>
    </row>
    <row r="394">
      <c r="C394" s="37" t="n"/>
    </row>
    <row r="395">
      <c r="C395" s="37" t="n"/>
    </row>
    <row r="396">
      <c r="C396" s="37" t="n"/>
    </row>
    <row r="397">
      <c r="C397" s="37" t="n"/>
    </row>
    <row r="398">
      <c r="C398" s="37" t="n"/>
    </row>
    <row r="399">
      <c r="C399" s="37" t="n"/>
    </row>
    <row r="400">
      <c r="C400" s="37" t="n"/>
    </row>
    <row r="401">
      <c r="C401" s="37" t="n"/>
    </row>
    <row r="402">
      <c r="C402" s="37" t="n"/>
    </row>
    <row r="403">
      <c r="C403" s="37" t="n"/>
    </row>
    <row r="404">
      <c r="C404" s="37" t="n"/>
    </row>
    <row r="405">
      <c r="C405" s="37" t="n"/>
    </row>
    <row r="406">
      <c r="C406" s="37" t="n"/>
    </row>
    <row r="407">
      <c r="C407" s="37" t="n"/>
    </row>
    <row r="408">
      <c r="C408" s="37" t="n"/>
    </row>
    <row r="409">
      <c r="C409" s="37" t="n"/>
    </row>
    <row r="410">
      <c r="C410" s="37" t="n"/>
    </row>
    <row r="411">
      <c r="C411" s="37" t="n"/>
    </row>
    <row r="412">
      <c r="C412" s="37" t="n"/>
    </row>
    <row r="413">
      <c r="C413" s="37" t="n"/>
    </row>
    <row r="414">
      <c r="C414" s="37" t="n"/>
    </row>
    <row r="415">
      <c r="C415" s="37" t="n"/>
    </row>
    <row r="416">
      <c r="C416" s="37" t="n"/>
    </row>
    <row r="417">
      <c r="C417" s="37" t="n"/>
    </row>
    <row r="418">
      <c r="C418" s="37" t="n"/>
    </row>
    <row r="419">
      <c r="C419" s="37" t="n"/>
    </row>
    <row r="420">
      <c r="C420" s="37" t="n"/>
    </row>
    <row r="421">
      <c r="C421" s="37" t="n"/>
    </row>
    <row r="422">
      <c r="C422" s="37" t="n"/>
    </row>
    <row r="423">
      <c r="C423" s="37" t="n"/>
    </row>
    <row r="424">
      <c r="C424" s="37" t="n"/>
    </row>
    <row r="425">
      <c r="C425" s="37" t="n"/>
    </row>
    <row r="426">
      <c r="C426" s="37" t="n"/>
    </row>
    <row r="427">
      <c r="C427" s="37" t="n"/>
    </row>
    <row r="428">
      <c r="C428" s="37" t="n"/>
    </row>
    <row r="429">
      <c r="C429" s="37" t="n"/>
    </row>
    <row r="430">
      <c r="C430" s="37" t="n"/>
    </row>
    <row r="431">
      <c r="C431" s="37" t="n"/>
    </row>
    <row r="432">
      <c r="C432" s="37" t="n"/>
    </row>
    <row r="433">
      <c r="C433" s="37" t="n"/>
    </row>
    <row r="434">
      <c r="C434" s="37" t="n"/>
    </row>
    <row r="435">
      <c r="C435" s="37" t="n"/>
    </row>
    <row r="436">
      <c r="C436" s="37" t="n"/>
    </row>
    <row r="437">
      <c r="C437" s="37" t="n"/>
    </row>
    <row r="438">
      <c r="C438" s="37" t="n"/>
    </row>
    <row r="439">
      <c r="C439" s="37" t="n"/>
    </row>
    <row r="440">
      <c r="C440" s="37" t="n"/>
    </row>
    <row r="441">
      <c r="C441" s="37" t="n"/>
    </row>
    <row r="442">
      <c r="C442" s="37" t="n"/>
    </row>
    <row r="443">
      <c r="C443" s="37" t="n"/>
    </row>
    <row r="444">
      <c r="C444" s="37" t="n"/>
    </row>
    <row r="445">
      <c r="C445" s="37" t="n"/>
    </row>
    <row r="446">
      <c r="C446" s="37" t="n"/>
    </row>
    <row r="447">
      <c r="C447" s="37" t="n"/>
    </row>
    <row r="448">
      <c r="C448" s="37" t="n"/>
    </row>
    <row r="449">
      <c r="C449" s="37" t="n"/>
    </row>
    <row r="450">
      <c r="C450" s="37" t="n"/>
    </row>
    <row r="451">
      <c r="C451" s="37" t="n"/>
    </row>
    <row r="452">
      <c r="C452" s="37" t="n"/>
    </row>
    <row r="453">
      <c r="C453" s="37" t="n"/>
    </row>
    <row r="454">
      <c r="C454" s="37" t="n"/>
    </row>
    <row r="455">
      <c r="C455" s="37" t="n"/>
    </row>
    <row r="456">
      <c r="C456" s="37" t="n"/>
    </row>
    <row r="457">
      <c r="C457" s="37" t="n"/>
    </row>
    <row r="458">
      <c r="C458" s="37" t="n"/>
    </row>
    <row r="459">
      <c r="C459" s="37" t="n"/>
    </row>
    <row r="460">
      <c r="C460" s="37" t="n"/>
    </row>
    <row r="461">
      <c r="C461" s="37" t="n"/>
    </row>
    <row r="462">
      <c r="C462" s="37" t="n"/>
    </row>
    <row r="463">
      <c r="C463" s="37" t="n"/>
    </row>
    <row r="464">
      <c r="C464" s="37" t="n"/>
    </row>
    <row r="465">
      <c r="C465" s="37" t="n"/>
    </row>
    <row r="466">
      <c r="C466" s="37" t="n"/>
    </row>
    <row r="467">
      <c r="C467" s="37" t="n"/>
    </row>
    <row r="468">
      <c r="C468" s="37" t="n"/>
    </row>
    <row r="469">
      <c r="C469" s="37" t="n"/>
    </row>
    <row r="470">
      <c r="C470" s="37" t="n"/>
    </row>
    <row r="471">
      <c r="C471" s="37" t="n"/>
    </row>
    <row r="472">
      <c r="C472" s="37" t="n"/>
    </row>
    <row r="473">
      <c r="C473" s="37" t="n"/>
    </row>
    <row r="474">
      <c r="C474" s="37" t="n"/>
    </row>
    <row r="475">
      <c r="C475" s="37" t="n"/>
    </row>
    <row r="476">
      <c r="C476" s="37" t="n"/>
    </row>
    <row r="477">
      <c r="C477" s="37" t="n"/>
    </row>
    <row r="478">
      <c r="C478" s="37" t="n"/>
    </row>
    <row r="479">
      <c r="C479" s="37" t="n"/>
    </row>
    <row r="480">
      <c r="C480" s="37" t="n"/>
    </row>
    <row r="481">
      <c r="C481" s="37" t="n"/>
    </row>
    <row r="482">
      <c r="C482" s="37" t="n"/>
    </row>
    <row r="483">
      <c r="C483" s="37" t="n"/>
    </row>
    <row r="484">
      <c r="C484" s="37" t="n"/>
    </row>
    <row r="485">
      <c r="C485" s="37" t="n"/>
    </row>
    <row r="486">
      <c r="C486" s="37" t="n"/>
    </row>
    <row r="487">
      <c r="C487" s="37" t="n"/>
    </row>
    <row r="488">
      <c r="C488" s="37" t="n"/>
    </row>
    <row r="489">
      <c r="C489" s="37" t="n"/>
    </row>
    <row r="490">
      <c r="C490" s="37" t="n"/>
    </row>
    <row r="491">
      <c r="C491" s="37" t="n"/>
    </row>
    <row r="492">
      <c r="C492" s="37" t="n"/>
    </row>
    <row r="493">
      <c r="C493" s="37" t="n"/>
    </row>
    <row r="494">
      <c r="C494" s="37" t="n"/>
    </row>
    <row r="495">
      <c r="C495" s="37" t="n"/>
    </row>
    <row r="496">
      <c r="C496" s="37" t="n"/>
    </row>
    <row r="497">
      <c r="C497" s="37" t="n"/>
    </row>
    <row r="498">
      <c r="C498" s="37" t="n"/>
    </row>
    <row r="499">
      <c r="C499" s="37" t="n"/>
    </row>
    <row r="500">
      <c r="C500" s="37" t="n"/>
    </row>
    <row r="501">
      <c r="C501" s="37" t="n"/>
    </row>
    <row r="502">
      <c r="C502" s="37" t="n"/>
    </row>
    <row r="503">
      <c r="C503" s="37" t="n"/>
    </row>
    <row r="504">
      <c r="C504" s="37" t="n"/>
    </row>
    <row r="505">
      <c r="C505" s="37" t="n"/>
    </row>
    <row r="506">
      <c r="C506" s="37" t="n"/>
    </row>
    <row r="507">
      <c r="C507" s="37" t="n"/>
    </row>
    <row r="508">
      <c r="C508" s="37" t="n"/>
    </row>
    <row r="509">
      <c r="C509" s="37" t="n"/>
    </row>
    <row r="510">
      <c r="C510" s="37" t="n"/>
    </row>
    <row r="511">
      <c r="C511" s="37" t="n"/>
    </row>
    <row r="512">
      <c r="C512" s="37" t="n"/>
    </row>
    <row r="513">
      <c r="C513" s="37" t="n"/>
    </row>
    <row r="514">
      <c r="C514" s="37" t="n"/>
    </row>
    <row r="515">
      <c r="C515" s="37" t="n"/>
    </row>
    <row r="516">
      <c r="C516" s="37" t="n"/>
    </row>
    <row r="517">
      <c r="C517" s="37" t="n"/>
    </row>
    <row r="518">
      <c r="C518" s="37" t="n"/>
    </row>
    <row r="519">
      <c r="C519" s="37" t="n"/>
    </row>
    <row r="520">
      <c r="C520" s="37" t="n"/>
    </row>
    <row r="521">
      <c r="C521" s="37" t="n"/>
    </row>
    <row r="522">
      <c r="C522" s="37" t="n"/>
    </row>
    <row r="523">
      <c r="C523" s="37" t="n"/>
    </row>
    <row r="524">
      <c r="C524" s="37" t="n"/>
    </row>
    <row r="525">
      <c r="C525" s="37" t="n"/>
    </row>
    <row r="526">
      <c r="C526" s="37" t="n"/>
    </row>
    <row r="527">
      <c r="C527" s="37" t="n"/>
    </row>
    <row r="528">
      <c r="C528" s="37" t="n"/>
    </row>
    <row r="529">
      <c r="C529" s="37" t="n"/>
    </row>
    <row r="530">
      <c r="C530" s="37" t="n"/>
    </row>
    <row r="531">
      <c r="C531" s="37" t="n"/>
    </row>
    <row r="532">
      <c r="C532" s="37" t="n"/>
    </row>
    <row r="533">
      <c r="C533" s="37" t="n"/>
    </row>
    <row r="534">
      <c r="C534" s="37" t="n"/>
    </row>
    <row r="535">
      <c r="C535" s="37" t="n"/>
    </row>
    <row r="536">
      <c r="C536" s="37" t="n"/>
    </row>
    <row r="537">
      <c r="C537" s="37" t="n"/>
    </row>
    <row r="538">
      <c r="C538" s="37" t="n"/>
    </row>
    <row r="539">
      <c r="C539" s="37" t="n"/>
    </row>
    <row r="540">
      <c r="C540" s="37" t="n"/>
    </row>
    <row r="541">
      <c r="C541" s="37" t="n"/>
    </row>
    <row r="542">
      <c r="C542" s="37" t="n"/>
    </row>
    <row r="543">
      <c r="C543" s="37" t="n"/>
    </row>
    <row r="544">
      <c r="C544" s="37" t="n"/>
    </row>
    <row r="545">
      <c r="C545" s="37" t="n"/>
    </row>
    <row r="546">
      <c r="C546" s="37" t="n"/>
    </row>
    <row r="547">
      <c r="C547" s="37" t="n"/>
    </row>
    <row r="548">
      <c r="C548" s="37" t="n"/>
    </row>
    <row r="549">
      <c r="C549" s="37" t="n"/>
    </row>
    <row r="550">
      <c r="C550" s="37" t="n"/>
    </row>
    <row r="551">
      <c r="C551" s="37" t="n"/>
    </row>
    <row r="552">
      <c r="C552" s="37" t="n"/>
    </row>
    <row r="553">
      <c r="C553" s="37" t="n"/>
    </row>
    <row r="554">
      <c r="C554" s="37" t="n"/>
    </row>
    <row r="555">
      <c r="C555" s="37" t="n"/>
    </row>
    <row r="556">
      <c r="C556" s="37" t="n"/>
    </row>
    <row r="557">
      <c r="C557" s="37" t="n"/>
    </row>
    <row r="558">
      <c r="C558" s="37" t="n"/>
    </row>
    <row r="559">
      <c r="C559" s="37" t="n"/>
    </row>
    <row r="560">
      <c r="C560" s="37" t="n"/>
    </row>
    <row r="561">
      <c r="C561" s="37" t="n"/>
    </row>
    <row r="562">
      <c r="C562" s="37" t="n"/>
    </row>
    <row r="563">
      <c r="C563" s="37" t="n"/>
    </row>
    <row r="564">
      <c r="C564" s="37" t="n"/>
    </row>
    <row r="565">
      <c r="C565" s="37" t="n"/>
    </row>
    <row r="566">
      <c r="C566" s="37" t="n"/>
    </row>
    <row r="567">
      <c r="C567" s="37" t="n"/>
    </row>
    <row r="568">
      <c r="C568" s="37" t="n"/>
    </row>
    <row r="569">
      <c r="C569" s="37" t="n"/>
    </row>
    <row r="570">
      <c r="C570" s="37" t="n"/>
    </row>
    <row r="571">
      <c r="C571" s="37" t="n"/>
    </row>
    <row r="572">
      <c r="C572" s="37" t="n"/>
    </row>
    <row r="573">
      <c r="C573" s="37" t="n"/>
    </row>
    <row r="574">
      <c r="C574" s="37" t="n"/>
    </row>
    <row r="575">
      <c r="C575" s="37" t="n"/>
    </row>
    <row r="576">
      <c r="C576" s="37" t="n"/>
    </row>
    <row r="577">
      <c r="C577" s="37" t="n"/>
    </row>
    <row r="578">
      <c r="C578" s="37" t="n"/>
    </row>
    <row r="579">
      <c r="C579" s="37" t="n"/>
    </row>
    <row r="580">
      <c r="C580" s="37" t="n"/>
    </row>
    <row r="581">
      <c r="C581" s="37" t="n"/>
    </row>
    <row r="582">
      <c r="C582" s="37" t="n"/>
    </row>
    <row r="583">
      <c r="C583" s="37" t="n"/>
    </row>
    <row r="584">
      <c r="C584" s="37" t="n"/>
    </row>
    <row r="585">
      <c r="C585" s="37" t="n"/>
    </row>
    <row r="586">
      <c r="C586" s="37" t="n"/>
    </row>
    <row r="587">
      <c r="C587" s="37" t="n"/>
    </row>
    <row r="588">
      <c r="C588" s="37" t="n"/>
    </row>
    <row r="589">
      <c r="C589" s="37" t="n"/>
    </row>
    <row r="590">
      <c r="C590" s="37" t="n"/>
    </row>
    <row r="591">
      <c r="C591" s="37" t="n"/>
    </row>
    <row r="592">
      <c r="C592" s="37" t="n"/>
    </row>
    <row r="593">
      <c r="C593" s="37" t="n"/>
    </row>
    <row r="594">
      <c r="C594" s="37" t="n"/>
    </row>
    <row r="595">
      <c r="C595" s="37" t="n"/>
    </row>
    <row r="596">
      <c r="C596" s="37" t="n"/>
    </row>
    <row r="597">
      <c r="C597" s="37" t="n"/>
    </row>
    <row r="598">
      <c r="C598" s="37" t="n"/>
    </row>
    <row r="599">
      <c r="C599" s="37" t="n"/>
    </row>
    <row r="600">
      <c r="C600" s="37" t="n"/>
    </row>
    <row r="601">
      <c r="C601" s="37" t="n"/>
    </row>
    <row r="602">
      <c r="C602" s="37" t="n"/>
    </row>
    <row r="603">
      <c r="C603" s="37" t="n"/>
    </row>
    <row r="604">
      <c r="C604" s="37" t="n"/>
    </row>
    <row r="605">
      <c r="C605" s="37" t="n"/>
    </row>
    <row r="606">
      <c r="C606" s="37" t="n"/>
    </row>
    <row r="607">
      <c r="C607" s="37" t="n"/>
    </row>
    <row r="608">
      <c r="C608" s="37" t="n"/>
    </row>
    <row r="609">
      <c r="C609" s="37" t="n"/>
    </row>
    <row r="610">
      <c r="C610" s="37" t="n"/>
    </row>
    <row r="611">
      <c r="C611" s="37" t="n"/>
    </row>
    <row r="612">
      <c r="C612" s="37" t="n"/>
    </row>
    <row r="613">
      <c r="C613" s="37" t="n"/>
    </row>
    <row r="614">
      <c r="C614" s="37" t="n"/>
    </row>
    <row r="615">
      <c r="C615" s="37" t="n"/>
    </row>
    <row r="616">
      <c r="C616" s="37" t="n"/>
    </row>
    <row r="617">
      <c r="C617" s="37" t="n"/>
    </row>
    <row r="618">
      <c r="C618" s="37" t="n"/>
    </row>
    <row r="619">
      <c r="C619" s="37" t="n"/>
    </row>
    <row r="620">
      <c r="C620" s="37" t="n"/>
    </row>
    <row r="621">
      <c r="C621" s="37" t="n"/>
    </row>
    <row r="622">
      <c r="C622" s="37" t="n"/>
    </row>
    <row r="623">
      <c r="C623" s="37" t="n"/>
    </row>
    <row r="624">
      <c r="C624" s="37" t="n"/>
    </row>
    <row r="625">
      <c r="C625" s="37" t="n"/>
    </row>
    <row r="626">
      <c r="C626" s="37" t="n"/>
    </row>
    <row r="627">
      <c r="C627" s="37" t="n"/>
    </row>
    <row r="628">
      <c r="C628" s="37" t="n"/>
    </row>
    <row r="629">
      <c r="C629" s="37" t="n"/>
    </row>
    <row r="630">
      <c r="C630" s="37" t="n"/>
    </row>
    <row r="631">
      <c r="C631" s="37" t="n"/>
    </row>
    <row r="632">
      <c r="C632" s="37" t="n"/>
    </row>
    <row r="633">
      <c r="C633" s="37" t="n"/>
    </row>
    <row r="634">
      <c r="C634" s="37" t="n"/>
    </row>
    <row r="635">
      <c r="C635" s="37" t="n"/>
    </row>
    <row r="636">
      <c r="C636" s="37" t="n"/>
    </row>
    <row r="637">
      <c r="C637" s="37" t="n"/>
    </row>
    <row r="638">
      <c r="C638" s="37" t="n"/>
    </row>
    <row r="639">
      <c r="C639" s="37" t="n"/>
    </row>
    <row r="640">
      <c r="C640" s="37" t="n"/>
    </row>
    <row r="641">
      <c r="C641" s="37" t="n"/>
    </row>
    <row r="642">
      <c r="C642" s="37" t="n"/>
    </row>
    <row r="643">
      <c r="C643" s="37" t="n"/>
    </row>
    <row r="644">
      <c r="C644" s="37" t="n"/>
    </row>
    <row r="645">
      <c r="C645" s="37" t="n"/>
    </row>
    <row r="646">
      <c r="C646" s="37" t="n"/>
    </row>
    <row r="647">
      <c r="C647" s="37" t="n"/>
    </row>
    <row r="648">
      <c r="C648" s="37" t="n"/>
    </row>
    <row r="649">
      <c r="C649" s="37" t="n"/>
    </row>
    <row r="650">
      <c r="C650" s="37" t="n"/>
    </row>
    <row r="651">
      <c r="C651" s="37" t="n"/>
    </row>
    <row r="652">
      <c r="C652" s="37" t="n"/>
    </row>
    <row r="653">
      <c r="C653" s="37" t="n"/>
    </row>
    <row r="654">
      <c r="C654" s="37" t="n"/>
    </row>
    <row r="655">
      <c r="C655" s="37" t="n"/>
    </row>
    <row r="656">
      <c r="C656" s="37" t="n"/>
    </row>
    <row r="657">
      <c r="C657" s="37" t="n"/>
    </row>
    <row r="658">
      <c r="C658" s="37" t="n"/>
    </row>
    <row r="659">
      <c r="C659" s="37" t="n"/>
    </row>
    <row r="660">
      <c r="C660" s="37" t="n"/>
    </row>
    <row r="661">
      <c r="C661" s="37" t="n"/>
    </row>
    <row r="662">
      <c r="C662" s="37" t="n"/>
    </row>
    <row r="663">
      <c r="C663" s="37" t="n"/>
    </row>
    <row r="664">
      <c r="C664" s="37" t="n"/>
    </row>
    <row r="665">
      <c r="C665" s="37" t="n"/>
    </row>
    <row r="666">
      <c r="C666" s="37" t="n"/>
    </row>
    <row r="667">
      <c r="C667" s="37" t="n"/>
    </row>
    <row r="668">
      <c r="C668" s="37" t="n"/>
    </row>
    <row r="669">
      <c r="C669" s="37" t="n"/>
    </row>
    <row r="670">
      <c r="C670" s="37" t="n"/>
    </row>
    <row r="671">
      <c r="C671" s="37" t="n"/>
    </row>
    <row r="672">
      <c r="C672" s="37" t="n"/>
    </row>
    <row r="673">
      <c r="C673" s="37" t="n"/>
    </row>
    <row r="674">
      <c r="C674" s="37" t="n"/>
    </row>
    <row r="675">
      <c r="C675" s="37" t="n"/>
    </row>
    <row r="676">
      <c r="C676" s="37" t="n"/>
    </row>
    <row r="677">
      <c r="C677" s="37" t="n"/>
    </row>
    <row r="678">
      <c r="C678" s="37" t="n"/>
    </row>
    <row r="679">
      <c r="C679" s="37" t="n"/>
    </row>
    <row r="680">
      <c r="C680" s="37" t="n"/>
    </row>
    <row r="681">
      <c r="C681" s="37" t="n"/>
    </row>
    <row r="682">
      <c r="C682" s="37" t="n"/>
    </row>
    <row r="683">
      <c r="C683" s="37" t="n"/>
    </row>
    <row r="684">
      <c r="C684" s="37" t="n"/>
    </row>
    <row r="685">
      <c r="C685" s="37" t="n"/>
    </row>
    <row r="686">
      <c r="C686" s="37" t="n"/>
    </row>
    <row r="687">
      <c r="C687" s="37" t="n"/>
    </row>
    <row r="688">
      <c r="C688" s="37" t="n"/>
    </row>
    <row r="689">
      <c r="C689" s="37" t="n"/>
    </row>
    <row r="690">
      <c r="C690" s="37" t="n"/>
    </row>
    <row r="691">
      <c r="C691" s="37" t="n"/>
    </row>
    <row r="692">
      <c r="C692" s="37" t="n"/>
    </row>
    <row r="693">
      <c r="C693" s="37" t="n"/>
    </row>
    <row r="694">
      <c r="C694" s="37" t="n"/>
    </row>
    <row r="695">
      <c r="C695" s="37" t="n"/>
    </row>
    <row r="696">
      <c r="C696" s="37" t="n"/>
    </row>
    <row r="697">
      <c r="C697" s="37" t="n"/>
    </row>
    <row r="698">
      <c r="C698" s="37" t="n"/>
    </row>
    <row r="699">
      <c r="C699" s="37" t="n"/>
    </row>
    <row r="700">
      <c r="C700" s="37" t="n"/>
    </row>
    <row r="701">
      <c r="C701" s="37" t="n"/>
    </row>
    <row r="702">
      <c r="C702" s="37" t="n"/>
    </row>
    <row r="703">
      <c r="C703" s="37" t="n"/>
    </row>
    <row r="704">
      <c r="C704" s="37" t="n"/>
    </row>
    <row r="705">
      <c r="C705" s="37" t="n"/>
    </row>
    <row r="706">
      <c r="C706" s="37" t="n"/>
    </row>
    <row r="707">
      <c r="C707" s="37" t="n"/>
    </row>
    <row r="708">
      <c r="C708" s="37" t="n"/>
    </row>
    <row r="709">
      <c r="C709" s="37" t="n"/>
    </row>
    <row r="710">
      <c r="C710" s="37" t="n"/>
    </row>
    <row r="711">
      <c r="C711" s="37" t="n"/>
    </row>
    <row r="712">
      <c r="C712" s="37" t="n"/>
    </row>
    <row r="713">
      <c r="C713" s="37" t="n"/>
    </row>
    <row r="714">
      <c r="C714" s="37" t="n"/>
    </row>
    <row r="715">
      <c r="C715" s="37" t="n"/>
    </row>
    <row r="716">
      <c r="C716" s="37" t="n"/>
    </row>
    <row r="717">
      <c r="C717" s="37" t="n"/>
    </row>
    <row r="718">
      <c r="C718" s="37" t="n"/>
    </row>
    <row r="719">
      <c r="C719" s="37" t="n"/>
    </row>
    <row r="720">
      <c r="C720" s="37" t="n"/>
    </row>
    <row r="721">
      <c r="C721" s="37" t="n"/>
    </row>
    <row r="722">
      <c r="C722" s="37" t="n"/>
    </row>
    <row r="723">
      <c r="C723" s="37" t="n"/>
    </row>
    <row r="724">
      <c r="C724" s="37" t="n"/>
    </row>
    <row r="725">
      <c r="C725" s="37" t="n"/>
    </row>
    <row r="726">
      <c r="C726" s="37" t="n"/>
    </row>
    <row r="727">
      <c r="C727" s="37" t="n"/>
    </row>
    <row r="728">
      <c r="C728" s="37" t="n"/>
    </row>
    <row r="729">
      <c r="C729" s="37" t="n"/>
    </row>
    <row r="730">
      <c r="C730" s="37" t="n"/>
    </row>
    <row r="731">
      <c r="C731" s="37" t="n"/>
    </row>
    <row r="732">
      <c r="C732" s="37" t="n"/>
    </row>
    <row r="733">
      <c r="C733" s="37" t="n"/>
    </row>
    <row r="734">
      <c r="C734" s="37" t="n"/>
    </row>
    <row r="735">
      <c r="C735" s="37" t="n"/>
    </row>
    <row r="736">
      <c r="C736" s="37" t="n"/>
    </row>
    <row r="737">
      <c r="C737" s="37" t="n"/>
    </row>
    <row r="738">
      <c r="C738" s="37" t="n"/>
    </row>
    <row r="739">
      <c r="C739" s="37" t="n"/>
    </row>
    <row r="740">
      <c r="C740" s="37" t="n"/>
    </row>
    <row r="741">
      <c r="C741" s="37" t="n"/>
    </row>
    <row r="742">
      <c r="C742" s="37" t="n"/>
    </row>
    <row r="743">
      <c r="C743" s="37" t="n"/>
    </row>
    <row r="744">
      <c r="C744" s="37" t="n"/>
    </row>
    <row r="745">
      <c r="C745" s="37" t="n"/>
    </row>
    <row r="746">
      <c r="C746" s="37" t="n"/>
    </row>
    <row r="747">
      <c r="C747" s="37" t="n"/>
    </row>
    <row r="748">
      <c r="C748" s="37" t="n"/>
    </row>
    <row r="749">
      <c r="C749" s="37" t="n"/>
    </row>
    <row r="750">
      <c r="C750" s="37" t="n"/>
    </row>
    <row r="751">
      <c r="C751" s="37" t="n"/>
    </row>
    <row r="752">
      <c r="C752" s="37" t="n"/>
    </row>
    <row r="753">
      <c r="C753" s="37" t="n"/>
    </row>
    <row r="754">
      <c r="C754" s="37" t="n"/>
    </row>
    <row r="755">
      <c r="C755" s="37" t="n"/>
    </row>
    <row r="756">
      <c r="C756" s="37" t="n"/>
    </row>
    <row r="757">
      <c r="C757" s="37" t="n"/>
    </row>
    <row r="758">
      <c r="C758" s="37" t="n"/>
    </row>
    <row r="759">
      <c r="C759" s="37" t="n"/>
    </row>
    <row r="760">
      <c r="C760" s="37" t="n"/>
    </row>
    <row r="761">
      <c r="C761" s="37" t="n"/>
    </row>
    <row r="762">
      <c r="C762" s="37" t="n"/>
    </row>
    <row r="763">
      <c r="C763" s="37" t="n"/>
    </row>
    <row r="764">
      <c r="C764" s="37" t="n"/>
    </row>
    <row r="765">
      <c r="C765" s="37" t="n"/>
    </row>
    <row r="766">
      <c r="C766" s="37" t="n"/>
    </row>
    <row r="767">
      <c r="C767" s="37" t="n"/>
    </row>
    <row r="768">
      <c r="C768" s="37" t="n"/>
    </row>
    <row r="769">
      <c r="C769" s="37" t="n"/>
    </row>
    <row r="770">
      <c r="C770" s="37" t="n"/>
    </row>
    <row r="771">
      <c r="C771" s="37" t="n"/>
    </row>
    <row r="772">
      <c r="C772" s="37" t="n"/>
    </row>
    <row r="773">
      <c r="C773" s="37" t="n"/>
    </row>
    <row r="774">
      <c r="C774" s="37" t="n"/>
    </row>
    <row r="775">
      <c r="C775" s="37" t="n"/>
    </row>
    <row r="776">
      <c r="C776" s="37" t="n"/>
    </row>
    <row r="777">
      <c r="C777" s="37" t="n"/>
    </row>
    <row r="778">
      <c r="C778" s="37" t="n"/>
    </row>
    <row r="779">
      <c r="C779" s="37" t="n"/>
    </row>
    <row r="780">
      <c r="C780" s="37" t="n"/>
    </row>
    <row r="781">
      <c r="C781" s="37" t="n"/>
    </row>
    <row r="782">
      <c r="C782" s="37" t="n"/>
    </row>
    <row r="783">
      <c r="C783" s="37" t="n"/>
    </row>
    <row r="784">
      <c r="C784" s="37" t="n"/>
    </row>
    <row r="785">
      <c r="C785" s="37" t="n"/>
    </row>
    <row r="786">
      <c r="C786" s="37" t="n"/>
    </row>
    <row r="787">
      <c r="C787" s="37" t="n"/>
    </row>
    <row r="788">
      <c r="C788" s="37" t="n"/>
    </row>
    <row r="789">
      <c r="C789" s="37" t="n"/>
    </row>
    <row r="790">
      <c r="C790" s="37" t="n"/>
    </row>
    <row r="791">
      <c r="C791" s="37" t="n"/>
    </row>
    <row r="792">
      <c r="C792" s="37" t="n"/>
    </row>
    <row r="793">
      <c r="C793" s="37" t="n"/>
    </row>
    <row r="794">
      <c r="C794" s="37" t="n"/>
    </row>
    <row r="795">
      <c r="C795" s="37" t="n"/>
    </row>
    <row r="796">
      <c r="C796" s="37" t="n"/>
    </row>
    <row r="797">
      <c r="C797" s="37" t="n"/>
    </row>
    <row r="798">
      <c r="C798" s="37" t="n"/>
    </row>
    <row r="799">
      <c r="C799" s="37" t="n"/>
    </row>
    <row r="800">
      <c r="C800" s="37" t="n"/>
    </row>
    <row r="801">
      <c r="C801" s="37" t="n"/>
    </row>
    <row r="802">
      <c r="C802" s="37" t="n"/>
    </row>
    <row r="803">
      <c r="C803" s="37" t="n"/>
    </row>
    <row r="804">
      <c r="C804" s="37" t="n"/>
    </row>
    <row r="805">
      <c r="C805" s="37" t="n"/>
    </row>
    <row r="806">
      <c r="C806" s="37" t="n"/>
    </row>
    <row r="807">
      <c r="C807" s="37" t="n"/>
    </row>
    <row r="808">
      <c r="C808" s="37" t="n"/>
    </row>
    <row r="809">
      <c r="C809" s="37" t="n"/>
    </row>
    <row r="810">
      <c r="C810" s="37" t="n"/>
    </row>
    <row r="811">
      <c r="C811" s="37" t="n"/>
    </row>
    <row r="812">
      <c r="C812" s="37" t="n"/>
    </row>
    <row r="813">
      <c r="C813" s="37" t="n"/>
    </row>
    <row r="814">
      <c r="C814" s="37" t="n"/>
    </row>
    <row r="815">
      <c r="C815" s="37" t="n"/>
    </row>
    <row r="816">
      <c r="C816" s="37" t="n"/>
    </row>
    <row r="817">
      <c r="C817" s="37" t="n"/>
    </row>
    <row r="818">
      <c r="C818" s="37" t="n"/>
    </row>
    <row r="819">
      <c r="C819" s="37" t="n"/>
    </row>
    <row r="820">
      <c r="C820" s="37" t="n"/>
    </row>
    <row r="821">
      <c r="C821" s="37" t="n"/>
    </row>
    <row r="822">
      <c r="C822" s="37" t="n"/>
    </row>
    <row r="823">
      <c r="C823" s="37" t="n"/>
    </row>
    <row r="824">
      <c r="C824" s="37" t="n"/>
    </row>
    <row r="825">
      <c r="C825" s="37" t="n"/>
    </row>
    <row r="826">
      <c r="C826" s="37" t="n"/>
    </row>
    <row r="827">
      <c r="C827" s="37" t="n"/>
    </row>
    <row r="828">
      <c r="C828" s="37" t="n"/>
    </row>
    <row r="829">
      <c r="C829" s="37" t="n"/>
    </row>
    <row r="830">
      <c r="C830" s="37" t="n"/>
    </row>
    <row r="831">
      <c r="C831" s="37" t="n"/>
    </row>
    <row r="832">
      <c r="C832" s="37" t="n"/>
    </row>
    <row r="833">
      <c r="C833" s="37" t="n"/>
    </row>
    <row r="834">
      <c r="C834" s="37" t="n"/>
    </row>
    <row r="835">
      <c r="C835" s="37" t="n"/>
    </row>
    <row r="836">
      <c r="C836" s="37" t="n"/>
    </row>
    <row r="837">
      <c r="C837" s="37" t="n"/>
    </row>
    <row r="838">
      <c r="C838" s="37" t="n"/>
    </row>
    <row r="839">
      <c r="C839" s="37" t="n"/>
    </row>
    <row r="840">
      <c r="C840" s="37" t="n"/>
    </row>
    <row r="841">
      <c r="C841" s="37" t="n"/>
    </row>
    <row r="842">
      <c r="C842" s="37" t="n"/>
    </row>
    <row r="843">
      <c r="C843" s="37" t="n"/>
    </row>
    <row r="844">
      <c r="C844" s="37" t="n"/>
    </row>
    <row r="845">
      <c r="C845" s="37" t="n"/>
    </row>
    <row r="846">
      <c r="C846" s="37" t="n"/>
    </row>
    <row r="847">
      <c r="C847" s="37" t="n"/>
    </row>
    <row r="848">
      <c r="C848" s="37" t="n"/>
    </row>
    <row r="849">
      <c r="C849" s="37" t="n"/>
    </row>
    <row r="850">
      <c r="C850" s="37" t="n"/>
    </row>
    <row r="851">
      <c r="C851" s="37" t="n"/>
    </row>
    <row r="852">
      <c r="C852" s="37" t="n"/>
    </row>
    <row r="853">
      <c r="C853" s="37" t="n"/>
    </row>
    <row r="854">
      <c r="C854" s="37" t="n"/>
    </row>
    <row r="855">
      <c r="C855" s="37" t="n"/>
    </row>
    <row r="856">
      <c r="C856" s="37" t="n"/>
    </row>
    <row r="857">
      <c r="C857" s="37" t="n"/>
    </row>
    <row r="858">
      <c r="C858" s="37" t="n"/>
    </row>
    <row r="859">
      <c r="C859" s="37" t="n"/>
    </row>
    <row r="860">
      <c r="C860" s="37" t="n"/>
    </row>
    <row r="861">
      <c r="C861" s="37" t="n"/>
    </row>
    <row r="862">
      <c r="C862" s="37" t="n"/>
    </row>
    <row r="863">
      <c r="C863" s="37" t="n"/>
    </row>
    <row r="864">
      <c r="C864" s="37" t="n"/>
    </row>
    <row r="865">
      <c r="C865" s="37" t="n"/>
    </row>
    <row r="866">
      <c r="C866" s="37" t="n"/>
    </row>
    <row r="867">
      <c r="C867" s="37" t="n"/>
    </row>
    <row r="868">
      <c r="C868" s="37" t="n"/>
    </row>
    <row r="869">
      <c r="C869" s="37" t="n"/>
    </row>
    <row r="870">
      <c r="C870" s="37" t="n"/>
    </row>
    <row r="871">
      <c r="C871" s="37" t="n"/>
    </row>
    <row r="872">
      <c r="C872" s="37" t="n"/>
    </row>
    <row r="873">
      <c r="C873" s="37" t="n"/>
    </row>
    <row r="874">
      <c r="C874" s="37" t="n"/>
    </row>
    <row r="875">
      <c r="C875" s="37" t="n"/>
    </row>
    <row r="876">
      <c r="C876" s="37" t="n"/>
    </row>
    <row r="877">
      <c r="C877" s="37" t="n"/>
    </row>
    <row r="878">
      <c r="C878" s="37" t="n"/>
    </row>
    <row r="879">
      <c r="C879" s="37" t="n"/>
    </row>
    <row r="880">
      <c r="C880" s="37" t="n"/>
    </row>
    <row r="881">
      <c r="C881" s="37" t="n"/>
    </row>
    <row r="882">
      <c r="C882" s="37" t="n"/>
    </row>
    <row r="883">
      <c r="C883" s="37" t="n"/>
    </row>
    <row r="884">
      <c r="C884" s="37" t="n"/>
    </row>
    <row r="885">
      <c r="C885" s="37" t="n"/>
    </row>
    <row r="886">
      <c r="C886" s="37" t="n"/>
    </row>
    <row r="887">
      <c r="C887" s="37" t="n"/>
    </row>
    <row r="888">
      <c r="C888" s="37" t="n"/>
    </row>
    <row r="889">
      <c r="C889" s="37" t="n"/>
    </row>
    <row r="890">
      <c r="C890" s="37" t="n"/>
    </row>
    <row r="891">
      <c r="C891" s="37" t="n"/>
    </row>
    <row r="892">
      <c r="C892" s="37" t="n"/>
    </row>
    <row r="893">
      <c r="C893" s="37" t="n"/>
    </row>
    <row r="894">
      <c r="C894" s="37" t="n"/>
    </row>
    <row r="895">
      <c r="C895" s="37" t="n"/>
    </row>
    <row r="896">
      <c r="C896" s="37" t="n"/>
    </row>
    <row r="897">
      <c r="C897" s="37" t="n"/>
    </row>
    <row r="898">
      <c r="C898" s="37" t="n"/>
    </row>
    <row r="899">
      <c r="C899" s="37" t="n"/>
    </row>
    <row r="900">
      <c r="C900" s="37" t="n"/>
    </row>
    <row r="901">
      <c r="C901" s="37" t="n"/>
    </row>
    <row r="902">
      <c r="C902" s="37" t="n"/>
    </row>
    <row r="903">
      <c r="C903" s="37" t="n"/>
    </row>
    <row r="904">
      <c r="C904" s="37" t="n"/>
    </row>
    <row r="905">
      <c r="C905" s="37" t="n"/>
    </row>
    <row r="906">
      <c r="C906" s="37" t="n"/>
    </row>
    <row r="907">
      <c r="C907" s="37" t="n"/>
    </row>
    <row r="908">
      <c r="C908" s="37" t="n"/>
    </row>
    <row r="909">
      <c r="C909" s="37" t="n"/>
    </row>
    <row r="910">
      <c r="C910" s="37" t="n"/>
    </row>
    <row r="911">
      <c r="C911" s="37" t="n"/>
    </row>
    <row r="912">
      <c r="C912" s="37" t="n"/>
    </row>
    <row r="913">
      <c r="C913" s="37" t="n"/>
    </row>
    <row r="914">
      <c r="C914" s="37" t="n"/>
    </row>
    <row r="915">
      <c r="C915" s="37" t="n"/>
    </row>
    <row r="916">
      <c r="C916" s="37" t="n"/>
    </row>
    <row r="917">
      <c r="C917" s="37" t="n"/>
    </row>
    <row r="918">
      <c r="C918" s="37" t="n"/>
    </row>
    <row r="919">
      <c r="C919" s="37" t="n"/>
    </row>
    <row r="920">
      <c r="C920" s="37" t="n"/>
    </row>
    <row r="921">
      <c r="C921" s="37" t="n"/>
    </row>
    <row r="922">
      <c r="C922" s="37" t="n"/>
    </row>
    <row r="923">
      <c r="C923" s="37" t="n"/>
    </row>
    <row r="924">
      <c r="C924" s="37" t="n"/>
    </row>
    <row r="925">
      <c r="C925" s="37" t="n"/>
    </row>
    <row r="926">
      <c r="C926" s="37" t="n"/>
    </row>
    <row r="927">
      <c r="C927" s="37" t="n"/>
    </row>
    <row r="928">
      <c r="C928" s="37" t="n"/>
    </row>
    <row r="929">
      <c r="C929" s="37" t="n"/>
    </row>
    <row r="930">
      <c r="C930" s="37" t="n"/>
    </row>
    <row r="931">
      <c r="C931" s="37" t="n"/>
    </row>
    <row r="932">
      <c r="C932" s="37" t="n"/>
    </row>
    <row r="933">
      <c r="C933" s="37" t="n"/>
    </row>
    <row r="934">
      <c r="C934" s="37" t="n"/>
    </row>
    <row r="935">
      <c r="C935" s="37" t="n"/>
    </row>
    <row r="936">
      <c r="C936" s="37" t="n"/>
    </row>
    <row r="937">
      <c r="C937" s="37" t="n"/>
    </row>
    <row r="938">
      <c r="C938" s="37" t="n"/>
    </row>
    <row r="939">
      <c r="C939" s="37" t="n"/>
    </row>
    <row r="940">
      <c r="C940" s="37" t="n"/>
    </row>
    <row r="941">
      <c r="C941" s="37" t="n"/>
    </row>
    <row r="942">
      <c r="C942" s="37" t="n"/>
    </row>
    <row r="943">
      <c r="C943" s="37" t="n"/>
    </row>
    <row r="944">
      <c r="C944" s="37" t="n"/>
    </row>
    <row r="945">
      <c r="C945" s="37" t="n"/>
    </row>
    <row r="946">
      <c r="C946" s="37" t="n"/>
    </row>
    <row r="947">
      <c r="C947" s="37" t="n"/>
    </row>
    <row r="948">
      <c r="C948" s="37" t="n"/>
    </row>
    <row r="949">
      <c r="C949" s="37" t="n"/>
    </row>
    <row r="950">
      <c r="C950" s="37" t="n"/>
    </row>
    <row r="951">
      <c r="C951" s="37" t="n"/>
    </row>
    <row r="952">
      <c r="C952" s="37" t="n"/>
    </row>
    <row r="953">
      <c r="C953" s="37" t="n"/>
    </row>
    <row r="954">
      <c r="C954" s="37" t="n"/>
    </row>
    <row r="955">
      <c r="C955" s="37" t="n"/>
    </row>
    <row r="956">
      <c r="C956" s="37" t="n"/>
    </row>
    <row r="957">
      <c r="C957" s="37" t="n"/>
    </row>
    <row r="958">
      <c r="C958" s="37" t="n"/>
    </row>
    <row r="959">
      <c r="C959" s="37" t="n"/>
    </row>
    <row r="960">
      <c r="C960" s="37" t="n"/>
    </row>
    <row r="961">
      <c r="C961" s="37" t="n"/>
    </row>
    <row r="962">
      <c r="C962" s="37" t="n"/>
    </row>
    <row r="963">
      <c r="C963" s="37" t="n"/>
    </row>
    <row r="964">
      <c r="C964" s="37" t="n"/>
    </row>
    <row r="965">
      <c r="C965" s="37" t="n"/>
    </row>
    <row r="966">
      <c r="C966" s="37" t="n"/>
    </row>
    <row r="967">
      <c r="C967" s="37" t="n"/>
    </row>
    <row r="968">
      <c r="C968" s="37" t="n"/>
    </row>
    <row r="969">
      <c r="C969" s="37" t="n"/>
    </row>
    <row r="970">
      <c r="C970" s="37" t="n"/>
    </row>
    <row r="971">
      <c r="C971" s="37" t="n"/>
    </row>
    <row r="972">
      <c r="C972" s="37" t="n"/>
    </row>
    <row r="973">
      <c r="C973" s="37" t="n"/>
    </row>
    <row r="974">
      <c r="C974" s="37" t="n"/>
    </row>
    <row r="975">
      <c r="C975" s="37" t="n"/>
    </row>
    <row r="976">
      <c r="C976" s="37" t="n"/>
    </row>
    <row r="977">
      <c r="C977" s="37" t="n"/>
    </row>
    <row r="978">
      <c r="C978" s="37" t="n"/>
    </row>
    <row r="979">
      <c r="C979" s="37" t="n"/>
    </row>
    <row r="980">
      <c r="C980" s="37" t="n"/>
    </row>
    <row r="981">
      <c r="C981" s="37" t="n"/>
    </row>
    <row r="982">
      <c r="C982" s="37" t="n"/>
    </row>
    <row r="983">
      <c r="C983" s="37" t="n"/>
    </row>
    <row r="984">
      <c r="C984" s="37" t="n"/>
    </row>
    <row r="985">
      <c r="C985" s="37" t="n"/>
    </row>
    <row r="986">
      <c r="C986" s="37" t="n"/>
    </row>
    <row r="987">
      <c r="C987" s="37" t="n"/>
    </row>
    <row r="988">
      <c r="C988" s="37" t="n"/>
    </row>
    <row r="989">
      <c r="C989" s="37" t="n"/>
    </row>
    <row r="990">
      <c r="C990" s="37" t="n"/>
    </row>
    <row r="991">
      <c r="C991" s="37" t="n"/>
    </row>
    <row r="992">
      <c r="C992" s="37" t="n"/>
    </row>
    <row r="993">
      <c r="C993" s="37" t="n"/>
    </row>
    <row r="994">
      <c r="C994" s="37" t="n"/>
    </row>
    <row r="995">
      <c r="C995" s="37" t="n"/>
    </row>
    <row r="996">
      <c r="C996" s="37" t="n"/>
    </row>
    <row r="997">
      <c r="C997" s="37" t="n"/>
    </row>
    <row r="998">
      <c r="C998" s="37" t="n"/>
    </row>
    <row r="999">
      <c r="C999" s="37" t="n"/>
    </row>
    <row r="1000">
      <c r="C1000" s="37" t="n"/>
    </row>
  </sheetData>
  <mergeCells count="2">
    <mergeCell ref="Q1:T1"/>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78"/>
  <sheetViews>
    <sheetView tabSelected="1" topLeftCell="B1" workbookViewId="0">
      <selection activeCell="D81" sqref="D81"/>
    </sheetView>
  </sheetViews>
  <sheetFormatPr baseColWidth="10" defaultColWidth="9.140625" defaultRowHeight="15"/>
  <cols>
    <col width="22" customWidth="1" style="55" min="1" max="27"/>
  </cols>
  <sheetData>
    <row r="1">
      <c r="A1" t="inlineStr">
        <is>
          <t>Ticker</t>
        </is>
      </c>
      <c r="B1" t="inlineStr">
        <is>
          <t>Empresa</t>
        </is>
      </c>
      <c r="D1" s="57" t="inlineStr">
        <is>
          <t>PER</t>
        </is>
      </c>
      <c r="E1" s="59" t="inlineStr">
        <is>
          <t>Precio_Actual</t>
        </is>
      </c>
      <c r="F1" s="57" t="inlineStr">
        <is>
          <t>EPS_TTM</t>
        </is>
      </c>
      <c r="G1" s="58" t="inlineStr">
        <is>
          <t>NetIncome_TTM</t>
        </is>
      </c>
      <c r="H1" s="58" t="inlineStr">
        <is>
          <t>Shares_Diluted_Weighted</t>
        </is>
      </c>
      <c r="I1" s="58" t="inlineStr">
        <is>
          <t>EPS_Anual</t>
        </is>
      </c>
      <c r="J1" s="57" t="inlineStr">
        <is>
          <t>Crec_EPS_5y</t>
        </is>
      </c>
      <c r="K1" s="58" t="inlineStr">
        <is>
          <t>EPS_fin_reciente</t>
        </is>
      </c>
      <c r="L1" s="58" t="inlineStr">
        <is>
          <t>EPS_ini_hace_5y</t>
        </is>
      </c>
      <c r="M1" s="57" t="inlineStr">
        <is>
          <t>Margen_Neto</t>
        </is>
      </c>
      <c r="N1" s="58" t="inlineStr">
        <is>
          <t>Revenue_TTM</t>
        </is>
      </c>
      <c r="O1" s="57" t="inlineStr">
        <is>
          <t>ROE_TTM</t>
        </is>
      </c>
      <c r="P1" s="57" t="inlineStr">
        <is>
          <t>Equity_Promedio</t>
        </is>
      </c>
      <c r="Q1" s="58" t="inlineStr">
        <is>
          <t>Equity_actual</t>
        </is>
      </c>
      <c r="R1" s="58" t="inlineStr">
        <is>
          <t>Equity_hace_1_anio</t>
        </is>
      </c>
      <c r="S1" s="57" t="inlineStr">
        <is>
          <t>Payout</t>
        </is>
      </c>
      <c r="T1" s="58" t="inlineStr">
        <is>
          <t>Dividendos_TTM</t>
        </is>
      </c>
      <c r="V1" t="inlineStr">
        <is>
          <t>Tag_NetIncome_XBRL</t>
        </is>
      </c>
      <c r="W1" t="inlineStr">
        <is>
          <t>Tag_Revenue_XBRL</t>
        </is>
      </c>
      <c r="X1" t="inlineStr">
        <is>
          <t>Estrategia_TTM_NetIncome</t>
        </is>
      </c>
      <c r="Y1" t="inlineStr">
        <is>
          <t>Fecha_NetIncome_usado</t>
        </is>
      </c>
      <c r="Z1" t="inlineStr">
        <is>
          <t>Flags_calidad</t>
        </is>
      </c>
      <c r="AA1" t="inlineStr">
        <is>
          <t>Notas</t>
        </is>
      </c>
    </row>
    <row r="2">
      <c r="A2" t="inlineStr">
        <is>
          <t>GS</t>
        </is>
      </c>
      <c r="B2" t="inlineStr">
        <is>
          <t>GOLDMAN SACHS GROUP INC</t>
        </is>
      </c>
      <c r="D2">
        <f>+E2/F2</f>
        <v/>
      </c>
      <c r="E2" t="n">
        <v>1076.910034179688</v>
      </c>
      <c r="F2">
        <f>+G2/H2</f>
        <v/>
      </c>
      <c r="G2" t="n">
        <v>18068000000</v>
      </c>
      <c r="H2" t="n">
        <v>308000000</v>
      </c>
      <c r="I2" t="n">
        <v>51.32</v>
      </c>
      <c r="J2">
        <f>(K2/L2)^(1/5)-1</f>
        <v/>
      </c>
      <c r="K2" t="n">
        <v>51.32</v>
      </c>
      <c r="L2" t="n">
        <v>24.74</v>
      </c>
      <c r="O2">
        <f>G2/P2</f>
        <v/>
      </c>
      <c r="P2">
        <f>+Q2/2+R2/2</f>
        <v/>
      </c>
      <c r="Q2" t="n">
        <v>122782000000</v>
      </c>
      <c r="R2" t="n">
        <v>124300000000</v>
      </c>
      <c r="S2">
        <f>+T2/G2</f>
        <v/>
      </c>
      <c r="T2" t="n">
        <v>5750000000</v>
      </c>
      <c r="V2" t="inlineStr">
        <is>
          <t>NetIncomeLoss</t>
        </is>
      </c>
      <c r="X2" t="inlineStr">
        <is>
          <t>B</t>
        </is>
      </c>
      <c r="Y2" t="inlineStr">
        <is>
          <t>2026-03-31</t>
        </is>
      </c>
      <c r="AA2" t="inlineStr">
        <is>
          <t>Margen Neto no disponible: no se encontro ningun tag de Revenue (Revenues/RevenueFromContract.../SalesRevenueNet) -- tipico de bancos/holdings que no reportan una linea unica de ingresos</t>
        </is>
      </c>
    </row>
    <row r="3">
      <c r="A3" t="inlineStr">
        <is>
          <t>IBN</t>
        </is>
      </c>
      <c r="B3" t="inlineStr">
        <is>
          <t>ICICI BANK LTD</t>
        </is>
      </c>
      <c r="AA3" t="inlineStr">
        <is>
          <t>Sin datos EDGAR: sin_datos_descargados (no se llego a calcular ningun ratio)</t>
        </is>
      </c>
    </row>
    <row r="4">
      <c r="A4" t="inlineStr">
        <is>
          <t>INFY</t>
        </is>
      </c>
      <c r="B4" t="inlineStr">
        <is>
          <t>Infosys Ltd</t>
        </is>
      </c>
      <c r="E4" t="n">
        <v>10.93000030517578</v>
      </c>
      <c r="G4" t="n">
        <v>3162000000</v>
      </c>
      <c r="V4" t="inlineStr">
        <is>
          <t>ProfitLoss</t>
        </is>
      </c>
      <c r="X4" t="inlineStr">
        <is>
          <t>C</t>
        </is>
      </c>
      <c r="Y4" t="inlineStr">
        <is>
          <t>2025-03-31</t>
        </is>
      </c>
      <c r="Z4" t="inlineStr">
        <is>
          <t>ni_es_fy_no_ttm</t>
        </is>
      </c>
      <c r="AA4"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5">
      <c r="A5" t="inlineStr">
        <is>
          <t>NOK</t>
        </is>
      </c>
      <c r="B5" t="inlineStr">
        <is>
          <t>NOKIA CORP</t>
        </is>
      </c>
      <c r="AA5" t="inlineStr">
        <is>
          <t>Sin datos EDGAR: sin_datos_descargados (no se llego a calcular ningun ratio)</t>
        </is>
      </c>
    </row>
    <row r="6">
      <c r="A6" t="inlineStr">
        <is>
          <t>VALE</t>
        </is>
      </c>
      <c r="B6" t="inlineStr">
        <is>
          <t>Vale S.A.</t>
        </is>
      </c>
      <c r="E6" t="n">
        <v>14.84000015258789</v>
      </c>
      <c r="V6" t="inlineStr">
        <is>
          <t>NetIncomeLoss</t>
        </is>
      </c>
      <c r="W6" t="inlineStr">
        <is>
          <t>SalesRevenueNet</t>
        </is>
      </c>
      <c r="X6" t="inlineStr">
        <is>
          <t>C</t>
        </is>
      </c>
      <c r="Y6" t="inlineStr">
        <is>
          <t>2012-12-31</t>
        </is>
      </c>
      <c r="Z6" t="inlineStr">
        <is>
          <t>stale_2012-12-31</t>
        </is>
      </c>
      <c r="AA6" t="inlineStr">
        <is>
          <t>STALE: ultimo dato real es de 2012-12-31 (&gt;2 anios) -&gt; todos los ratios TTM se anulan a proposito</t>
        </is>
      </c>
    </row>
    <row r="7">
      <c r="A7" t="inlineStr">
        <is>
          <t>MUFG</t>
        </is>
      </c>
      <c r="B7" t="inlineStr">
        <is>
          <t>MITSUBISHI UFJ FINANCIAL GROUP INC</t>
        </is>
      </c>
      <c r="E7" t="n">
        <v>19.80999946594238</v>
      </c>
      <c r="H7" t="n">
        <v>11654850000</v>
      </c>
      <c r="AA7"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8">
      <c r="A8" t="inlineStr">
        <is>
          <t>TSM</t>
        </is>
      </c>
      <c r="B8" t="inlineStr">
        <is>
          <t>TAIWAN SEMICONDUCTOR MANUFACTURING CO LTD</t>
        </is>
      </c>
      <c r="E8" t="n">
        <v>440.8299865722656</v>
      </c>
      <c r="G8" t="n">
        <v>35301100000</v>
      </c>
      <c r="V8" t="inlineStr">
        <is>
          <t>ProfitLoss</t>
        </is>
      </c>
      <c r="X8" t="inlineStr">
        <is>
          <t>C</t>
        </is>
      </c>
      <c r="Y8" t="inlineStr">
        <is>
          <t>2024-12-31</t>
        </is>
      </c>
      <c r="Z8" t="inlineStr">
        <is>
          <t>ni_es_fy_no_ttm</t>
        </is>
      </c>
      <c r="AA8"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9">
      <c r="A9" t="inlineStr">
        <is>
          <t>GRMN</t>
        </is>
      </c>
      <c r="B9" t="inlineStr">
        <is>
          <t>GARMIN LTD</t>
        </is>
      </c>
      <c r="D9">
        <f>+E9/F9</f>
        <v/>
      </c>
      <c r="E9" t="n">
        <v>240.0200042724609</v>
      </c>
      <c r="F9">
        <f>G9/H9</f>
        <v/>
      </c>
      <c r="G9" t="n">
        <v>1736196000</v>
      </c>
      <c r="H9" t="n">
        <v>193565000</v>
      </c>
      <c r="I9" t="n">
        <v>8.59</v>
      </c>
      <c r="J9">
        <f>(K9/L9)^(1/5)-1</f>
        <v/>
      </c>
      <c r="K9" t="n">
        <v>8.59</v>
      </c>
      <c r="L9" t="n">
        <v>5.17</v>
      </c>
      <c r="M9">
        <f>G9/N9</f>
        <v/>
      </c>
      <c r="N9" t="n">
        <v>7463909000</v>
      </c>
      <c r="O9">
        <f>G9/P9</f>
        <v/>
      </c>
      <c r="P9">
        <f>(Q9+R9)/2</f>
        <v/>
      </c>
      <c r="Q9" t="n">
        <v>9271024000</v>
      </c>
      <c r="R9" t="n">
        <v>8179478000</v>
      </c>
      <c r="S9">
        <f>T9/G9</f>
        <v/>
      </c>
      <c r="T9" t="n">
        <v>692956000</v>
      </c>
      <c r="V9" t="inlineStr">
        <is>
          <t>NetIncomeLoss</t>
        </is>
      </c>
      <c r="W9" t="inlineStr">
        <is>
          <t>RevenueFromContractWithCustomerExcludingAssessedTax</t>
        </is>
      </c>
      <c r="X9" t="inlineStr">
        <is>
          <t>B</t>
        </is>
      </c>
      <c r="Y9" t="inlineStr">
        <is>
          <t>2026-03-28</t>
        </is>
      </c>
      <c r="Z9" t="inlineStr">
        <is>
          <t>ebitda_da_mas_intangibles</t>
        </is>
      </c>
      <c r="AA9" t="inlineStr">
        <is>
          <t>D&amp;A incluye amortizacion de intangibles sumada aparte (el tag primario solo cubria PP&amp;E)</t>
        </is>
      </c>
    </row>
    <row r="10">
      <c r="A10" t="inlineStr">
        <is>
          <t>VIV</t>
        </is>
      </c>
      <c r="B10" t="inlineStr">
        <is>
          <t>TELEFONICA BRASIL S.A.</t>
        </is>
      </c>
      <c r="AA10" t="inlineStr">
        <is>
          <t>Sin datos EDGAR: sin_datos_descargados (no se llego a calcular ningun ratio)</t>
        </is>
      </c>
    </row>
    <row r="11">
      <c r="A11" t="inlineStr">
        <is>
          <t>RIO</t>
        </is>
      </c>
      <c r="B11" t="inlineStr">
        <is>
          <t>RIO TINTO PLC</t>
        </is>
      </c>
      <c r="E11" t="n">
        <v>94.02999877929688</v>
      </c>
      <c r="G11" t="n">
        <v>10249000000</v>
      </c>
      <c r="V11" t="inlineStr">
        <is>
          <t>ProfitLoss</t>
        </is>
      </c>
      <c r="X11" t="inlineStr">
        <is>
          <t>C</t>
        </is>
      </c>
      <c r="Y11" t="inlineStr">
        <is>
          <t>2025-12-31</t>
        </is>
      </c>
      <c r="Z11" t="inlineStr">
        <is>
          <t>ni_es_fy_no_ttm</t>
        </is>
      </c>
      <c r="AA11"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12">
      <c r="A12" t="inlineStr">
        <is>
          <t>TRV</t>
        </is>
      </c>
      <c r="B12" t="inlineStr">
        <is>
          <t>TRAVELERS COMPANIES, INC.</t>
        </is>
      </c>
      <c r="D12">
        <f>+E12/F12</f>
        <v/>
      </c>
      <c r="E12" t="n">
        <v>320.739990234375</v>
      </c>
      <c r="F12">
        <f>G12/H12</f>
        <v/>
      </c>
      <c r="G12" t="n">
        <v>7604000000</v>
      </c>
      <c r="H12" t="n">
        <v>218400000</v>
      </c>
      <c r="I12" t="n">
        <v>27.43</v>
      </c>
      <c r="J12">
        <f>(K12/L12)^(1/5)-1</f>
        <v/>
      </c>
      <c r="K12" t="n">
        <v>27.43</v>
      </c>
      <c r="L12" t="n">
        <v>10.52</v>
      </c>
      <c r="M12">
        <f>G12/N12</f>
        <v/>
      </c>
      <c r="N12" t="n">
        <v>48942000000</v>
      </c>
      <c r="O12">
        <f>G12/P12</f>
        <v/>
      </c>
      <c r="P12">
        <f>(Q12+R12)/2</f>
        <v/>
      </c>
      <c r="Q12" t="n">
        <v>31986000000</v>
      </c>
      <c r="R12" t="n">
        <v>28191000000</v>
      </c>
      <c r="S12">
        <f>T12/G12</f>
        <v/>
      </c>
      <c r="T12" t="n">
        <v>976000000</v>
      </c>
      <c r="V12" t="inlineStr">
        <is>
          <t>NetIncomeLoss</t>
        </is>
      </c>
      <c r="W12" t="inlineStr">
        <is>
          <t>Revenues</t>
        </is>
      </c>
      <c r="X12" t="inlineStr">
        <is>
          <t>B</t>
        </is>
      </c>
      <c r="Y12" t="inlineStr">
        <is>
          <t>2026-03-31</t>
        </is>
      </c>
    </row>
    <row r="13">
      <c r="A13" t="inlineStr">
        <is>
          <t>CSCO</t>
        </is>
      </c>
      <c r="B13" t="inlineStr">
        <is>
          <t>CISCO SYSTEMS, INC.</t>
        </is>
      </c>
      <c r="D13">
        <f>+E13/F13</f>
        <v/>
      </c>
      <c r="E13" t="n">
        <v>119.7300033569336</v>
      </c>
      <c r="F13">
        <f>G13/H13</f>
        <v/>
      </c>
      <c r="G13" t="n">
        <v>11958000000</v>
      </c>
      <c r="H13" t="n">
        <v>3987000000</v>
      </c>
      <c r="I13" t="n">
        <v>2.55</v>
      </c>
      <c r="J13">
        <f>(K13/L13)^(1/5)-1</f>
        <v/>
      </c>
      <c r="K13" t="n">
        <v>2.55</v>
      </c>
      <c r="L13" t="n">
        <v>2.64</v>
      </c>
      <c r="M13">
        <f>G13/N13</f>
        <v/>
      </c>
      <c r="N13" t="n">
        <v>60746000000</v>
      </c>
      <c r="O13">
        <f>G13/P13</f>
        <v/>
      </c>
      <c r="P13">
        <f>(Q13+R13)/2</f>
        <v/>
      </c>
      <c r="Q13" t="n">
        <v>48861000000</v>
      </c>
      <c r="R13" t="n">
        <v>45935000000</v>
      </c>
      <c r="S13">
        <f>T13/G13</f>
        <v/>
      </c>
      <c r="T13" t="n">
        <v>6519000000</v>
      </c>
      <c r="V13" t="inlineStr">
        <is>
          <t>NetIncomeLoss</t>
        </is>
      </c>
      <c r="W13" t="inlineStr">
        <is>
          <t>RevenueFromContractWithCustomerExcludingAssessedTax</t>
        </is>
      </c>
      <c r="X13" t="inlineStr">
        <is>
          <t>B</t>
        </is>
      </c>
      <c r="Y13" t="inlineStr">
        <is>
          <t>2026-04-25</t>
        </is>
      </c>
    </row>
    <row r="14">
      <c r="A14" t="inlineStr">
        <is>
          <t>SBS</t>
        </is>
      </c>
      <c r="B14" t="inlineStr">
        <is>
          <t>COMPANHIA DE SANEAMENTO BASICO DO ESTADO DE SAO PAULO-SABESP</t>
        </is>
      </c>
      <c r="AA14" t="inlineStr">
        <is>
          <t>Sin datos EDGAR: sin_datos_descargados (no se llego a calcular ningun ratio)</t>
        </is>
      </c>
    </row>
    <row r="15">
      <c r="A15" t="inlineStr">
        <is>
          <t>INTC</t>
        </is>
      </c>
      <c r="B15" t="inlineStr">
        <is>
          <t>INTEL CORP</t>
        </is>
      </c>
      <c r="D15">
        <f>+E15/F15</f>
        <v/>
      </c>
      <c r="E15" t="n">
        <v>131.6499938964844</v>
      </c>
      <c r="F15">
        <f>G15/H15</f>
        <v/>
      </c>
      <c r="G15" t="n">
        <v>-3174000000</v>
      </c>
      <c r="H15" t="n">
        <v>5083000000</v>
      </c>
      <c r="I15" t="n">
        <v>-0.06</v>
      </c>
      <c r="J15">
        <f>(K15/L15)^(1/5)-1</f>
        <v/>
      </c>
      <c r="K15" t="n">
        <v>-0.06</v>
      </c>
      <c r="L15" t="n">
        <v>4.94</v>
      </c>
      <c r="M15">
        <f>G15/N15</f>
        <v/>
      </c>
      <c r="N15" t="n">
        <v>53763000000</v>
      </c>
      <c r="O15">
        <f>G15/P15</f>
        <v/>
      </c>
      <c r="P15">
        <f>(Q15+R15)/2</f>
        <v/>
      </c>
      <c r="Q15" t="n">
        <v>111394000000</v>
      </c>
      <c r="R15" t="n">
        <v>99756000000</v>
      </c>
      <c r="S15">
        <f>T15/G15</f>
        <v/>
      </c>
      <c r="T15" t="n">
        <v>0</v>
      </c>
      <c r="V15" t="inlineStr">
        <is>
          <t>NetIncomeLoss</t>
        </is>
      </c>
      <c r="W15" t="inlineStr">
        <is>
          <t>RevenueFromContractWithCustomerExcludingAssessedTax</t>
        </is>
      </c>
      <c r="X15" t="inlineStr">
        <is>
          <t>B</t>
        </is>
      </c>
      <c r="Y15" t="inlineStr">
        <is>
          <t>2026-03-28</t>
        </is>
      </c>
      <c r="Z15" t="inlineStr">
        <is>
          <t>ebitda_da_mas_intangibles</t>
        </is>
      </c>
      <c r="AA15" t="inlineStr">
        <is>
          <t>D&amp;A incluye amortizacion de intangibles sumada aparte (el tag primario solo cubria PP&amp;E)</t>
        </is>
      </c>
    </row>
    <row r="16">
      <c r="A16" t="inlineStr">
        <is>
          <t>MFG</t>
        </is>
      </c>
      <c r="B16" t="inlineStr">
        <is>
          <t>MIZUHO FINANCIAL GROUP INC</t>
        </is>
      </c>
      <c r="E16" t="n">
        <v>9.579999923706055</v>
      </c>
      <c r="H16" t="n">
        <v>2530282000</v>
      </c>
      <c r="AA16"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17">
      <c r="A17" t="inlineStr">
        <is>
          <t>KGC</t>
        </is>
      </c>
      <c r="B17" t="inlineStr">
        <is>
          <t>KINROSS GOLD CORP</t>
        </is>
      </c>
      <c r="E17" t="n">
        <v>23.70000076293945</v>
      </c>
      <c r="G17" t="n">
        <v>2470000000</v>
      </c>
      <c r="V17" t="inlineStr">
        <is>
          <t>ProfitLoss</t>
        </is>
      </c>
      <c r="X17" t="inlineStr">
        <is>
          <t>C</t>
        </is>
      </c>
      <c r="Y17" t="inlineStr">
        <is>
          <t>2025-12-31</t>
        </is>
      </c>
      <c r="Z17" t="inlineStr">
        <is>
          <t>ni_es_fy_no_ttm</t>
        </is>
      </c>
      <c r="AA17"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18">
      <c r="A18" t="inlineStr">
        <is>
          <t>AMAT</t>
        </is>
      </c>
      <c r="B18" t="inlineStr">
        <is>
          <t>APPLIED MATERIALS INC /DE</t>
        </is>
      </c>
      <c r="D18">
        <f>+E18/F18</f>
        <v/>
      </c>
      <c r="E18" t="n">
        <v>588.969970703125</v>
      </c>
      <c r="F18">
        <f>G18/H18</f>
        <v/>
      </c>
      <c r="G18" t="n">
        <v>8508000000</v>
      </c>
      <c r="H18" t="n">
        <v>799000000</v>
      </c>
      <c r="I18" t="n">
        <v>8.66</v>
      </c>
      <c r="J18">
        <f>(K18/L18)^(1/5)-1</f>
        <v/>
      </c>
      <c r="K18" t="n">
        <v>8.66</v>
      </c>
      <c r="L18" t="n">
        <v>3.92</v>
      </c>
      <c r="M18">
        <f>G18/N18</f>
        <v/>
      </c>
      <c r="N18" t="n">
        <v>29024000000</v>
      </c>
      <c r="O18">
        <f>G18/P18</f>
        <v/>
      </c>
      <c r="P18">
        <f>(Q18+R18)/2</f>
        <v/>
      </c>
      <c r="Q18" t="n">
        <v>23909000000</v>
      </c>
      <c r="R18" t="n">
        <v>18961000000</v>
      </c>
      <c r="S18">
        <f>T18/G18</f>
        <v/>
      </c>
      <c r="T18" t="n">
        <v>1463000000</v>
      </c>
      <c r="V18" t="inlineStr">
        <is>
          <t>NetIncomeLoss</t>
        </is>
      </c>
      <c r="W18" t="inlineStr">
        <is>
          <t>RevenueFromContractWithCustomerExcludingAssessedTax</t>
        </is>
      </c>
      <c r="X18" t="inlineStr">
        <is>
          <t>B</t>
        </is>
      </c>
      <c r="Y18" t="inlineStr">
        <is>
          <t>2026-04-26</t>
        </is>
      </c>
    </row>
    <row r="19">
      <c r="A19" t="inlineStr">
        <is>
          <t>JNJ</t>
        </is>
      </c>
      <c r="B19" t="inlineStr">
        <is>
          <t>JOHNSON &amp; JOHNSON</t>
        </is>
      </c>
      <c r="D19">
        <f>+E19/F19</f>
        <v/>
      </c>
      <c r="E19" t="n">
        <v>241</v>
      </c>
      <c r="F19">
        <f>G19/H19</f>
        <v/>
      </c>
      <c r="G19" t="n">
        <v>21040000000</v>
      </c>
      <c r="H19" t="n">
        <v>2445200000</v>
      </c>
      <c r="I19" t="n">
        <v>11.03</v>
      </c>
      <c r="J19">
        <f>(K19/L19)^(1/5)-1</f>
        <v/>
      </c>
      <c r="K19" t="n">
        <v>11.03</v>
      </c>
      <c r="L19" t="n">
        <v>5.51</v>
      </c>
      <c r="M19">
        <f>G19/N19</f>
        <v/>
      </c>
      <c r="N19" t="n">
        <v>96362000000</v>
      </c>
      <c r="O19">
        <f>G19/P19</f>
        <v/>
      </c>
      <c r="P19">
        <f>(Q19+R19)/2</f>
        <v/>
      </c>
      <c r="Q19" t="n">
        <v>81186000000</v>
      </c>
      <c r="R19" t="n">
        <v>78109000000</v>
      </c>
      <c r="V19" t="inlineStr">
        <is>
          <t>NetIncomeLoss</t>
        </is>
      </c>
      <c r="W19" t="inlineStr">
        <is>
          <t>RevenueFromContractWithCustomerExcludingAssessedTax</t>
        </is>
      </c>
      <c r="X19" t="inlineStr">
        <is>
          <t>B</t>
        </is>
      </c>
      <c r="Y19" t="inlineStr">
        <is>
          <t>2026-03-29</t>
        </is>
      </c>
      <c r="AA19" t="inlineStr">
        <is>
          <t>Payout no disponible: no hay tag de dividendos pagados (PaymentsOfDividendsCommonStock/PaymentsOfDividends) -- normal en empresas que no reparten dividendos, o que no taggean ese dato</t>
        </is>
      </c>
    </row>
    <row r="20">
      <c r="A20" t="inlineStr">
        <is>
          <t>BIIB</t>
        </is>
      </c>
      <c r="B20" t="inlineStr">
        <is>
          <t>BIOGEN INC.</t>
        </is>
      </c>
      <c r="D20">
        <f>+E20/F20</f>
        <v/>
      </c>
      <c r="E20" t="n">
        <v>199.5899963378906</v>
      </c>
      <c r="F20">
        <f>G20/H20</f>
        <v/>
      </c>
      <c r="G20" t="n">
        <v>1371900000</v>
      </c>
      <c r="H20" t="n">
        <v>148400000</v>
      </c>
      <c r="I20" t="n">
        <v>8.789999999999999</v>
      </c>
      <c r="J20">
        <f>(K20/L20)^(1/5)-1</f>
        <v/>
      </c>
      <c r="K20" t="n">
        <v>8.789999999999999</v>
      </c>
      <c r="L20" t="n">
        <v>24.8</v>
      </c>
      <c r="M20">
        <f>G20/N20</f>
        <v/>
      </c>
      <c r="N20" t="n">
        <v>9937400000</v>
      </c>
      <c r="O20">
        <f>G20/P20</f>
        <v/>
      </c>
      <c r="P20">
        <f>(Q20+R20)/2</f>
        <v/>
      </c>
      <c r="Q20" t="n">
        <v>14799400000</v>
      </c>
      <c r="R20" t="n">
        <v>13397900000</v>
      </c>
      <c r="V20" t="inlineStr">
        <is>
          <t>NetIncomeLoss</t>
        </is>
      </c>
      <c r="W20" t="inlineStr">
        <is>
          <t>Revenues</t>
        </is>
      </c>
      <c r="X20" t="inlineStr">
        <is>
          <t>B</t>
        </is>
      </c>
      <c r="Y20" t="inlineStr">
        <is>
          <t>2026-03-31</t>
        </is>
      </c>
      <c r="AA20" t="inlineStr">
        <is>
          <t>Payout no disponible: no hay tag de dividendos pagados (PaymentsOfDividendsCommonStock/PaymentsOfDividends) -- normal en empresas que no reparten dividendos, o que no taggean ese dato</t>
        </is>
      </c>
    </row>
    <row r="21">
      <c r="A21" t="inlineStr">
        <is>
          <t>LMT</t>
        </is>
      </c>
      <c r="B21" t="inlineStr">
        <is>
          <t>LOCKHEED MARTIN CORP</t>
        </is>
      </c>
      <c r="D21">
        <f>+E21/F21</f>
        <v/>
      </c>
      <c r="E21" t="n">
        <v>491.6400146484375</v>
      </c>
      <c r="F21">
        <f>G21/H21</f>
        <v/>
      </c>
      <c r="G21" t="n">
        <v>4793000000</v>
      </c>
      <c r="H21" t="n">
        <v>231100000</v>
      </c>
      <c r="I21" t="n">
        <v>21.49</v>
      </c>
      <c r="J21">
        <f>(K21/L21)^(1/5)-1</f>
        <v/>
      </c>
      <c r="K21" t="n">
        <v>21.49</v>
      </c>
      <c r="L21" t="n">
        <v>24.3</v>
      </c>
      <c r="M21">
        <f>G21/N21</f>
        <v/>
      </c>
      <c r="N21" t="n">
        <v>75106000000</v>
      </c>
      <c r="O21">
        <f>G21/P21</f>
        <v/>
      </c>
      <c r="P21">
        <f>(Q21+R21)/2</f>
        <v/>
      </c>
      <c r="Q21" t="n">
        <v>7489000000</v>
      </c>
      <c r="R21" t="n">
        <v>6683000000</v>
      </c>
      <c r="S21">
        <f>T21/G21</f>
        <v/>
      </c>
      <c r="T21" t="n">
        <v>3151000000</v>
      </c>
      <c r="V21" t="inlineStr">
        <is>
          <t>NetIncomeLoss</t>
        </is>
      </c>
      <c r="W21" t="inlineStr">
        <is>
          <t>Revenues</t>
        </is>
      </c>
      <c r="X21" t="inlineStr">
        <is>
          <t>B</t>
        </is>
      </c>
      <c r="Y21" t="inlineStr">
        <is>
          <t>2026-03-29</t>
        </is>
      </c>
    </row>
    <row r="22">
      <c r="A22" t="inlineStr">
        <is>
          <t>BHP</t>
        </is>
      </c>
      <c r="B22" t="inlineStr">
        <is>
          <t>BHP Group Ltd</t>
        </is>
      </c>
      <c r="E22" t="n">
        <v>80.72000122070312</v>
      </c>
      <c r="G22" t="n">
        <v>11143000000</v>
      </c>
      <c r="V22" t="inlineStr">
        <is>
          <t>ProfitLoss</t>
        </is>
      </c>
      <c r="X22" t="inlineStr">
        <is>
          <t>C</t>
        </is>
      </c>
      <c r="Y22" t="inlineStr">
        <is>
          <t>2025-06-30</t>
        </is>
      </c>
      <c r="Z22" t="inlineStr">
        <is>
          <t>ni_es_fy_no_ttm</t>
        </is>
      </c>
      <c r="AA22"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23">
      <c r="A23" t="inlineStr">
        <is>
          <t>EBAY</t>
        </is>
      </c>
      <c r="B23" t="inlineStr">
        <is>
          <t>EBAY INC</t>
        </is>
      </c>
      <c r="D23">
        <f>+E23/F23</f>
        <v/>
      </c>
      <c r="E23" t="n">
        <v>109.4499969482422</v>
      </c>
      <c r="F23">
        <f>G23/H23</f>
        <v/>
      </c>
      <c r="G23" t="n">
        <v>2044000000</v>
      </c>
      <c r="H23" t="n">
        <v>457000000</v>
      </c>
      <c r="I23" t="n">
        <v>4.34</v>
      </c>
      <c r="J23">
        <f>(K23/L23)^(1/5)-1</f>
        <v/>
      </c>
      <c r="K23" t="n">
        <v>4.34</v>
      </c>
      <c r="L23" t="n">
        <v>7.89</v>
      </c>
      <c r="M23">
        <f>G23/N23</f>
        <v/>
      </c>
      <c r="N23" t="n">
        <v>11604000000</v>
      </c>
      <c r="O23">
        <f>G23/P23</f>
        <v/>
      </c>
      <c r="P23">
        <f>(Q23+R23)/2</f>
        <v/>
      </c>
      <c r="Q23" t="n">
        <v>4412000000</v>
      </c>
      <c r="R23" t="n">
        <v>4829000000</v>
      </c>
      <c r="S23">
        <f>T23/G23</f>
        <v/>
      </c>
      <c r="T23" t="n">
        <v>536000000</v>
      </c>
      <c r="V23" t="inlineStr">
        <is>
          <t>NetIncomeLoss</t>
        </is>
      </c>
      <c r="W23" t="inlineStr">
        <is>
          <t>RevenueFromContractWithCustomerExcludingAssessedTax</t>
        </is>
      </c>
      <c r="X23" t="inlineStr">
        <is>
          <t>B</t>
        </is>
      </c>
      <c r="Y23" t="inlineStr">
        <is>
          <t>2026-03-31</t>
        </is>
      </c>
    </row>
    <row r="24">
      <c r="A24" t="inlineStr">
        <is>
          <t>NEM</t>
        </is>
      </c>
      <c r="B24" t="inlineStr">
        <is>
          <t>NEWMONT Corp /DE/</t>
        </is>
      </c>
      <c r="D24">
        <f>+E24/F24</f>
        <v/>
      </c>
      <c r="E24" t="n">
        <v>94.04000091552734</v>
      </c>
      <c r="F24">
        <f>G24/H24</f>
        <v/>
      </c>
      <c r="G24" t="n">
        <v>8456000000</v>
      </c>
      <c r="H24" t="n">
        <v>1087000000</v>
      </c>
      <c r="I24" t="n">
        <v>6.39</v>
      </c>
      <c r="J24">
        <f>(K24/L24)^(1/5)-1</f>
        <v/>
      </c>
      <c r="K24" t="n">
        <v>6.39</v>
      </c>
      <c r="L24" t="n">
        <v>3.51</v>
      </c>
      <c r="M24">
        <f>G24/N24</f>
        <v/>
      </c>
      <c r="N24" t="n">
        <v>24966000000</v>
      </c>
      <c r="O24">
        <f>G24/P24</f>
        <v/>
      </c>
      <c r="P24">
        <f>(Q24+R24)/2</f>
        <v/>
      </c>
      <c r="Q24" t="n">
        <v>34926000000</v>
      </c>
      <c r="R24" t="n">
        <v>31248000000</v>
      </c>
      <c r="S24">
        <f>T24/G24</f>
        <v/>
      </c>
      <c r="T24" t="n">
        <v>1106000000</v>
      </c>
      <c r="V24" t="inlineStr">
        <is>
          <t>NetIncomeLoss</t>
        </is>
      </c>
      <c r="W24" t="inlineStr">
        <is>
          <t>RevenueFromContractWithCustomerExcludingAssessedTax</t>
        </is>
      </c>
      <c r="X24" t="inlineStr">
        <is>
          <t>B</t>
        </is>
      </c>
      <c r="Y24" t="inlineStr">
        <is>
          <t>2026-03-31</t>
        </is>
      </c>
    </row>
    <row r="25">
      <c r="A25" t="inlineStr">
        <is>
          <t>ERIC</t>
        </is>
      </c>
      <c r="B25" t="inlineStr">
        <is>
          <t>ERICSSON LM TELEPHONE CO</t>
        </is>
      </c>
      <c r="AA25" t="inlineStr">
        <is>
          <t>Sin datos EDGAR: sin_datos_descargados (no se llego a calcular ningun ratio)</t>
        </is>
      </c>
    </row>
    <row r="26">
      <c r="A26" t="inlineStr">
        <is>
          <t>PG</t>
        </is>
      </c>
      <c r="B26" t="inlineStr">
        <is>
          <t>PROCTER &amp; GAMBLE Co</t>
        </is>
      </c>
      <c r="D26">
        <f>+E26/F26</f>
        <v/>
      </c>
      <c r="E26" t="n">
        <v>152.0399932861328</v>
      </c>
      <c r="F26">
        <f>G26/H26</f>
        <v/>
      </c>
      <c r="G26" t="n">
        <v>16617000000</v>
      </c>
      <c r="H26" t="n">
        <v>2425800000</v>
      </c>
      <c r="I26" t="n">
        <v>6.51</v>
      </c>
      <c r="J26">
        <f>(K26/L26)^(1/5)-1</f>
        <v/>
      </c>
      <c r="K26" t="n">
        <v>6.51</v>
      </c>
      <c r="L26" t="n">
        <v>4.96</v>
      </c>
      <c r="M26">
        <f>G26/N26</f>
        <v/>
      </c>
      <c r="N26" t="n">
        <v>86717000000</v>
      </c>
      <c r="S26">
        <f>T26/G26</f>
        <v/>
      </c>
      <c r="T26" t="n">
        <v>10176000000</v>
      </c>
      <c r="V26" t="inlineStr">
        <is>
          <t>NetIncomeLoss</t>
        </is>
      </c>
      <c r="W26" t="inlineStr">
        <is>
          <t>Revenues</t>
        </is>
      </c>
      <c r="X26" t="inlineStr">
        <is>
          <t>B</t>
        </is>
      </c>
      <c r="Y26" t="inlineStr">
        <is>
          <t>2026-03-31</t>
        </is>
      </c>
      <c r="AA26" t="inlineStr">
        <is>
          <t>ROE no disponible: no se encontro el tag StockholdersEquity con valor y fecha en los financials descargados</t>
        </is>
      </c>
    </row>
    <row r="27">
      <c r="A27" t="inlineStr">
        <is>
          <t>SNA</t>
        </is>
      </c>
      <c r="B27" t="inlineStr">
        <is>
          <t>Snap-on Inc</t>
        </is>
      </c>
      <c r="D27">
        <f>+E27/F27</f>
        <v/>
      </c>
      <c r="E27" t="n">
        <v>392.1400146484375</v>
      </c>
      <c r="F27">
        <f>G27/H27</f>
        <v/>
      </c>
      <c r="G27" t="n">
        <v>1023400000</v>
      </c>
      <c r="H27" t="n">
        <v>52701388</v>
      </c>
      <c r="I27" t="n">
        <v>19.19</v>
      </c>
      <c r="J27">
        <f>(K27/L27)^(1/5)-1</f>
        <v/>
      </c>
      <c r="K27" t="n">
        <v>19.19</v>
      </c>
      <c r="L27" t="n">
        <v>11.44</v>
      </c>
      <c r="M27">
        <f>G27/N27</f>
        <v/>
      </c>
      <c r="N27" t="n">
        <v>5221200000</v>
      </c>
      <c r="O27">
        <f>G27/P27</f>
        <v/>
      </c>
      <c r="P27">
        <f>(Q27+R27)/2</f>
        <v/>
      </c>
      <c r="Q27" t="n">
        <v>5958100000</v>
      </c>
      <c r="R27" t="n">
        <v>5520800000</v>
      </c>
      <c r="S27">
        <f>T27/G27</f>
        <v/>
      </c>
      <c r="T27" t="n">
        <v>476800000</v>
      </c>
      <c r="V27" t="inlineStr">
        <is>
          <t>NetIncomeLoss</t>
        </is>
      </c>
      <c r="W27" t="inlineStr">
        <is>
          <t>Revenues</t>
        </is>
      </c>
      <c r="X27" t="inlineStr">
        <is>
          <t>B</t>
        </is>
      </c>
      <c r="Y27" t="inlineStr">
        <is>
          <t>2026-04-04</t>
        </is>
      </c>
    </row>
    <row r="28">
      <c r="A28" t="inlineStr">
        <is>
          <t>CL</t>
        </is>
      </c>
      <c r="B28" t="inlineStr">
        <is>
          <t>COLGATE PALMOLIVE CO</t>
        </is>
      </c>
      <c r="D28">
        <f>+E28/F28</f>
        <v/>
      </c>
      <c r="E28" t="n">
        <v>91.87999725341797</v>
      </c>
      <c r="F28">
        <f>G28/H28</f>
        <v/>
      </c>
      <c r="G28" t="n">
        <v>2088000000</v>
      </c>
      <c r="H28" t="n">
        <v>805100000</v>
      </c>
      <c r="I28" t="n">
        <v>2.63</v>
      </c>
      <c r="J28">
        <f>(K28/L28)^(1/5)-1</f>
        <v/>
      </c>
      <c r="K28" t="n">
        <v>2.63</v>
      </c>
      <c r="L28" t="n">
        <v>3.14</v>
      </c>
      <c r="M28">
        <f>G28/N28</f>
        <v/>
      </c>
      <c r="N28" t="n">
        <v>20795000000</v>
      </c>
      <c r="O28">
        <f>G28/P28</f>
        <v/>
      </c>
      <c r="P28">
        <f>(Q28+R28)/2</f>
        <v/>
      </c>
      <c r="Q28" t="n">
        <v>145000000</v>
      </c>
      <c r="R28" t="n">
        <v>363000000</v>
      </c>
      <c r="V28" t="inlineStr">
        <is>
          <t>NetIncomeLoss</t>
        </is>
      </c>
      <c r="W28" t="inlineStr">
        <is>
          <t>RevenueFromContractWithCustomerExcludingAssessedTax</t>
        </is>
      </c>
      <c r="X28" t="inlineStr">
        <is>
          <t>B</t>
        </is>
      </c>
      <c r="Y28" t="inlineStr">
        <is>
          <t>2026-03-31</t>
        </is>
      </c>
      <c r="Z28" t="inlineStr">
        <is>
          <t>roe_no_significativo</t>
        </is>
      </c>
      <c r="AA28" t="inlineStr">
        <is>
          <t>Payout no disponible: no hay tag de dividendos pagados (PaymentsOfDividendsCommonStock/PaymentsOfDividends) -- normal en empresas que no reparten dividendos, o que no taggean ese dato; ROE no interpretable: el equity promedio es &lt;5% de los activos totales (tipico de empresas con buybacks agresivos, equity casi nulo)</t>
        </is>
      </c>
    </row>
    <row r="29">
      <c r="A29" t="inlineStr">
        <is>
          <t>HPQ</t>
        </is>
      </c>
      <c r="B29" t="inlineStr">
        <is>
          <t>HP INC</t>
        </is>
      </c>
      <c r="D29">
        <f>+E29/F29</f>
        <v/>
      </c>
      <c r="E29" t="n">
        <v>23.29000091552734</v>
      </c>
      <c r="F29">
        <f>G29/H29</f>
        <v/>
      </c>
      <c r="G29" t="n">
        <v>2553000000</v>
      </c>
      <c r="H29" t="n">
        <v>928000000</v>
      </c>
      <c r="I29" t="n">
        <v>2.65</v>
      </c>
      <c r="J29">
        <f>(K29/L29)^(1/5)-1</f>
        <v/>
      </c>
      <c r="K29" t="n">
        <v>2.65</v>
      </c>
      <c r="L29" t="n">
        <v>1.98</v>
      </c>
      <c r="M29">
        <f>G29/N29</f>
        <v/>
      </c>
      <c r="N29" t="n">
        <v>57417000000</v>
      </c>
      <c r="O29">
        <f>G29/P29</f>
        <v/>
      </c>
      <c r="P29">
        <f>(Q29+R29)/2</f>
        <v/>
      </c>
      <c r="Q29" t="n">
        <v>-144000000</v>
      </c>
      <c r="R29" t="n">
        <v>-1276000000</v>
      </c>
      <c r="S29">
        <f>T29/G29</f>
        <v/>
      </c>
      <c r="T29" t="n">
        <v>1093000000</v>
      </c>
      <c r="V29" t="inlineStr">
        <is>
          <t>NetIncomeLoss</t>
        </is>
      </c>
      <c r="W29" t="inlineStr">
        <is>
          <t>Revenues</t>
        </is>
      </c>
      <c r="X29" t="inlineStr">
        <is>
          <t>B</t>
        </is>
      </c>
      <c r="Y29" t="inlineStr">
        <is>
          <t>2026-04-30</t>
        </is>
      </c>
    </row>
    <row r="30">
      <c r="A30" t="inlineStr">
        <is>
          <t>KMB</t>
        </is>
      </c>
      <c r="B30" t="inlineStr">
        <is>
          <t>KIMBERLY CLARK CORP</t>
        </is>
      </c>
      <c r="D30">
        <f>+E30/F30</f>
        <v/>
      </c>
      <c r="E30" t="n">
        <v>106.7300033569336</v>
      </c>
      <c r="F30">
        <f>G30/H30</f>
        <v/>
      </c>
      <c r="G30" t="n">
        <v>2119000000</v>
      </c>
      <c r="H30" t="n">
        <v>333200000</v>
      </c>
      <c r="I30" t="n">
        <v>6.07</v>
      </c>
      <c r="J30">
        <f>(K30/L30)^(1/5)-1</f>
        <v/>
      </c>
      <c r="K30" t="n">
        <v>6.07</v>
      </c>
      <c r="L30" t="n">
        <v>6.87</v>
      </c>
      <c r="M30">
        <f>G30/N30</f>
        <v/>
      </c>
      <c r="N30" t="n">
        <v>16556000000</v>
      </c>
      <c r="O30">
        <f>G30/P30</f>
        <v/>
      </c>
      <c r="P30">
        <f>(Q30+R30)/2</f>
        <v/>
      </c>
      <c r="Q30" t="n">
        <v>1796000000</v>
      </c>
      <c r="R30" t="n">
        <v>1101000000</v>
      </c>
      <c r="S30">
        <f>T30/G30</f>
        <v/>
      </c>
      <c r="T30" t="n">
        <v>1673000000</v>
      </c>
      <c r="V30" t="inlineStr">
        <is>
          <t>NetIncomeLoss</t>
        </is>
      </c>
      <c r="W30" t="inlineStr">
        <is>
          <t>Revenues</t>
        </is>
      </c>
      <c r="X30" t="inlineStr">
        <is>
          <t>A</t>
        </is>
      </c>
      <c r="Y30" t="inlineStr">
        <is>
          <t>2026-03-31</t>
        </is>
      </c>
    </row>
    <row r="31">
      <c r="A31" t="inlineStr">
        <is>
          <t>TX</t>
        </is>
      </c>
      <c r="B31" t="inlineStr">
        <is>
          <t>Ternium S.A.</t>
        </is>
      </c>
      <c r="E31" t="n">
        <v>44.95999908447266</v>
      </c>
      <c r="G31" t="n">
        <v>303095000</v>
      </c>
      <c r="V31" t="inlineStr">
        <is>
          <t>ProfitLoss</t>
        </is>
      </c>
      <c r="X31" t="inlineStr">
        <is>
          <t>C</t>
        </is>
      </c>
      <c r="Y31" t="inlineStr">
        <is>
          <t>2025-12-31</t>
        </is>
      </c>
      <c r="Z31" t="inlineStr">
        <is>
          <t>ni_es_fy_no_ttm</t>
        </is>
      </c>
      <c r="AA31"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32">
      <c r="A32" t="inlineStr">
        <is>
          <t>WMT</t>
        </is>
      </c>
      <c r="B32" t="inlineStr">
        <is>
          <t>Walmart Inc.</t>
        </is>
      </c>
      <c r="D32">
        <f>+E32/F32</f>
        <v/>
      </c>
      <c r="E32" t="n">
        <v>119</v>
      </c>
      <c r="F32">
        <f>G32/H32</f>
        <v/>
      </c>
      <c r="G32" t="n">
        <v>22736000000</v>
      </c>
      <c r="H32" t="n">
        <v>7999000000</v>
      </c>
      <c r="I32" t="n">
        <v>2.73</v>
      </c>
      <c r="J32">
        <f>(K32/L32)^(1/5)-1</f>
        <v/>
      </c>
      <c r="K32" t="n">
        <v>2.73</v>
      </c>
      <c r="L32" t="n">
        <v>4.75</v>
      </c>
      <c r="M32">
        <f>G32/N32</f>
        <v/>
      </c>
      <c r="N32" t="n">
        <v>725305000000</v>
      </c>
      <c r="O32">
        <f>G32/P32</f>
        <v/>
      </c>
      <c r="P32">
        <f>(Q32+R32)/2</f>
        <v/>
      </c>
      <c r="Q32" t="n">
        <v>94330000000</v>
      </c>
      <c r="R32" t="n">
        <v>83793000000</v>
      </c>
      <c r="S32">
        <f>T32/G32</f>
        <v/>
      </c>
      <c r="T32" t="n">
        <v>7599000000</v>
      </c>
      <c r="V32" t="inlineStr">
        <is>
          <t>NetIncomeLoss</t>
        </is>
      </c>
      <c r="W32" t="inlineStr">
        <is>
          <t>Revenues</t>
        </is>
      </c>
      <c r="X32" t="inlineStr">
        <is>
          <t>B</t>
        </is>
      </c>
      <c r="Y32" t="inlineStr">
        <is>
          <t>2026-04-30</t>
        </is>
      </c>
    </row>
    <row r="33">
      <c r="A33" t="inlineStr">
        <is>
          <t>HD</t>
        </is>
      </c>
      <c r="B33" t="inlineStr">
        <is>
          <t>HOME DEPOT, INC.</t>
        </is>
      </c>
      <c r="D33">
        <f>+E33/F33</f>
        <v/>
      </c>
      <c r="E33" t="n">
        <v>342.8599853515625</v>
      </c>
      <c r="F33">
        <f>G33/H33</f>
        <v/>
      </c>
      <c r="G33" t="n">
        <v>14012000000</v>
      </c>
      <c r="H33" t="n">
        <v>996000000</v>
      </c>
      <c r="I33" t="n">
        <v>14.23</v>
      </c>
      <c r="J33">
        <f>(K33/L33)^(1/5)-1</f>
        <v/>
      </c>
      <c r="K33" t="n">
        <v>14.23</v>
      </c>
      <c r="L33" t="n">
        <v>11.94</v>
      </c>
      <c r="M33">
        <f>G33/N33</f>
        <v/>
      </c>
      <c r="N33" t="n">
        <v>166592000000</v>
      </c>
      <c r="O33">
        <f>G33/P33</f>
        <v/>
      </c>
      <c r="P33">
        <f>(Q33+R33)/2</f>
        <v/>
      </c>
      <c r="Q33" t="n">
        <v>13874000000</v>
      </c>
      <c r="R33" t="n">
        <v>7955000000</v>
      </c>
      <c r="S33">
        <f>T33/G33</f>
        <v/>
      </c>
      <c r="T33" t="n">
        <v>9186000000</v>
      </c>
      <c r="V33" t="inlineStr">
        <is>
          <t>NetIncomeLoss</t>
        </is>
      </c>
      <c r="W33" t="inlineStr">
        <is>
          <t>RevenueFromContractWithCustomerExcludingAssessedTax</t>
        </is>
      </c>
      <c r="X33" t="inlineStr">
        <is>
          <t>B</t>
        </is>
      </c>
      <c r="Y33" t="inlineStr">
        <is>
          <t>2026-05-03</t>
        </is>
      </c>
    </row>
    <row r="34">
      <c r="A34" t="inlineStr">
        <is>
          <t>AVY</t>
        </is>
      </c>
      <c r="B34" t="inlineStr">
        <is>
          <t>Avery Dennison Corp</t>
        </is>
      </c>
      <c r="D34">
        <f>+E34/F34</f>
        <v/>
      </c>
      <c r="E34" t="n">
        <v>163.1499938964844</v>
      </c>
      <c r="F34">
        <f>G34/H34</f>
        <v/>
      </c>
      <c r="G34" t="n">
        <v>689800000</v>
      </c>
      <c r="H34" t="n">
        <v>77000000</v>
      </c>
      <c r="I34" t="n">
        <v>8.789999999999999</v>
      </c>
      <c r="J34">
        <f>(K34/L34)^(1/5)-1</f>
        <v/>
      </c>
      <c r="K34" t="n">
        <v>8.789999999999999</v>
      </c>
      <c r="L34" t="n">
        <v>6.61</v>
      </c>
      <c r="M34">
        <f>G34/N34</f>
        <v/>
      </c>
      <c r="N34" t="n">
        <v>9005700000</v>
      </c>
      <c r="O34">
        <f>G34/P34</f>
        <v/>
      </c>
      <c r="P34">
        <f>(Q34+R34)/2</f>
        <v/>
      </c>
      <c r="Q34" t="n">
        <v>2300500000</v>
      </c>
      <c r="R34" t="n">
        <v>2170500000</v>
      </c>
      <c r="S34">
        <f>T34/G34</f>
        <v/>
      </c>
      <c r="T34" t="n">
        <v>291300000</v>
      </c>
      <c r="V34" t="inlineStr">
        <is>
          <t>NetIncomeLoss</t>
        </is>
      </c>
      <c r="W34" t="inlineStr">
        <is>
          <t>RevenueFromContractWithCustomerExcludingAssessedTax</t>
        </is>
      </c>
      <c r="X34" t="inlineStr">
        <is>
          <t>B</t>
        </is>
      </c>
      <c r="Y34" t="inlineStr">
        <is>
          <t>2026-03-31</t>
        </is>
      </c>
    </row>
    <row r="35">
      <c r="A35" t="inlineStr">
        <is>
          <t>TGT</t>
        </is>
      </c>
      <c r="B35" t="inlineStr">
        <is>
          <t>TARGET CORP</t>
        </is>
      </c>
      <c r="D35">
        <f>+E35/F35</f>
        <v/>
      </c>
      <c r="E35" t="n">
        <v>141.1999969482422</v>
      </c>
      <c r="F35">
        <f>G35/H35</f>
        <v/>
      </c>
      <c r="G35" t="n">
        <v>3451000000</v>
      </c>
      <c r="H35" t="n">
        <v>455800000</v>
      </c>
      <c r="I35" t="n">
        <v>8.130000000000001</v>
      </c>
      <c r="J35">
        <f>(K35/L35)^(1/5)-1</f>
        <v/>
      </c>
      <c r="K35" t="n">
        <v>8.130000000000001</v>
      </c>
      <c r="L35" t="n">
        <v>8.640000000000001</v>
      </c>
      <c r="M35">
        <f>G35/N35</f>
        <v/>
      </c>
      <c r="N35" t="n">
        <v>106377000000</v>
      </c>
      <c r="O35">
        <f>G35/P35</f>
        <v/>
      </c>
      <c r="P35">
        <f>(Q35+R35)/2</f>
        <v/>
      </c>
      <c r="Q35" t="n">
        <v>16395000000</v>
      </c>
      <c r="R35" t="n">
        <v>14947000000</v>
      </c>
      <c r="S35">
        <f>T35/G35</f>
        <v/>
      </c>
      <c r="T35" t="n">
        <v>2059000000</v>
      </c>
      <c r="V35" t="inlineStr">
        <is>
          <t>NetIncomeLoss</t>
        </is>
      </c>
      <c r="W35" t="inlineStr">
        <is>
          <t>RevenueFromContractWithCustomerExcludingAssessedTax</t>
        </is>
      </c>
      <c r="X35" t="inlineStr">
        <is>
          <t>A</t>
        </is>
      </c>
      <c r="Y35" t="inlineStr">
        <is>
          <t>2026-05-02</t>
        </is>
      </c>
    </row>
    <row r="36">
      <c r="A36" t="inlineStr">
        <is>
          <t>NVS</t>
        </is>
      </c>
      <c r="B36" t="inlineStr">
        <is>
          <t>NOVARTIS AG</t>
        </is>
      </c>
      <c r="E36" t="n">
        <v>153.1199951171875</v>
      </c>
      <c r="G36" t="n">
        <v>13967000000</v>
      </c>
      <c r="V36" t="inlineStr">
        <is>
          <t>ProfitLoss</t>
        </is>
      </c>
      <c r="X36" t="inlineStr">
        <is>
          <t>C</t>
        </is>
      </c>
      <c r="Y36" t="inlineStr">
        <is>
          <t>2025-12-31</t>
        </is>
      </c>
      <c r="Z36" t="inlineStr">
        <is>
          <t>ni_es_fy_no_ttm</t>
        </is>
      </c>
      <c r="AA36" t="inlineStr">
        <is>
          <t>El 'TTM' de Net Income es en realidad el ultimo anio fiscal cerrado (estrategia C), no un TTM rodante -- puede divergir de Investing si hubo un item no recurrente en un trimestre reciente; 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37">
      <c r="A37" t="inlineStr">
        <is>
          <t>SAP</t>
        </is>
      </c>
      <c r="B37" t="inlineStr">
        <is>
          <t>SAP SE</t>
        </is>
      </c>
      <c r="E37" t="n">
        <v>152.75</v>
      </c>
      <c r="V37" t="inlineStr">
        <is>
          <t>ProfitLoss</t>
        </is>
      </c>
      <c r="X37" t="inlineStr">
        <is>
          <t>C</t>
        </is>
      </c>
      <c r="Y37" t="inlineStr">
        <is>
          <t>2017-12-31</t>
        </is>
      </c>
      <c r="Z37" t="inlineStr">
        <is>
          <t>stale_2017-12-31</t>
        </is>
      </c>
      <c r="AA37" t="inlineStr">
        <is>
          <t>STALE: ultimo dato real es de 2017-12-31 (&gt;2 anios) -&gt; todos los ratios TTM se anulan a proposito</t>
        </is>
      </c>
    </row>
    <row r="38">
      <c r="A38" t="inlineStr">
        <is>
          <t>PKX</t>
        </is>
      </c>
      <c r="B38" t="inlineStr">
        <is>
          <t>POSCO HOLDINGS INC.</t>
        </is>
      </c>
      <c r="AA38" t="inlineStr">
        <is>
          <t>Sin datos EDGAR: sin_datos_descargados (no se llego a calcular ningun ratio)</t>
        </is>
      </c>
    </row>
    <row r="39">
      <c r="A39" t="inlineStr">
        <is>
          <t>MMM</t>
        </is>
      </c>
      <c r="B39" t="inlineStr">
        <is>
          <t>3M CO</t>
        </is>
      </c>
      <c r="D39">
        <f>+E39/F39</f>
        <v/>
      </c>
      <c r="E39" t="n">
        <v>165.9100036621094</v>
      </c>
      <c r="F39">
        <f>G39/H39</f>
        <v/>
      </c>
      <c r="G39" t="n">
        <v>2787000000</v>
      </c>
      <c r="H39" t="n">
        <v>532800000</v>
      </c>
      <c r="I39" t="n">
        <v>6</v>
      </c>
      <c r="J39">
        <f>(K39/L39)^(1/5)-1</f>
        <v/>
      </c>
      <c r="K39" t="n">
        <v>6</v>
      </c>
      <c r="L39" t="n">
        <v>9.359999999999999</v>
      </c>
      <c r="M39">
        <f>G39/N39</f>
        <v/>
      </c>
      <c r="N39" t="n">
        <v>25024000000</v>
      </c>
      <c r="O39">
        <f>G39/P39</f>
        <v/>
      </c>
      <c r="P39">
        <f>(Q39+R39)/2</f>
        <v/>
      </c>
      <c r="Q39" t="n">
        <v>3263000000</v>
      </c>
      <c r="R39" t="n">
        <v>4464000000</v>
      </c>
      <c r="S39">
        <f>T39/G39</f>
        <v/>
      </c>
      <c r="T39" t="n">
        <v>1578000000</v>
      </c>
      <c r="V39" t="inlineStr">
        <is>
          <t>NetIncomeLoss</t>
        </is>
      </c>
      <c r="W39" t="inlineStr">
        <is>
          <t>Revenues</t>
        </is>
      </c>
      <c r="X39" t="inlineStr">
        <is>
          <t>B</t>
        </is>
      </c>
      <c r="Y39" t="inlineStr">
        <is>
          <t>2026-03-31</t>
        </is>
      </c>
    </row>
    <row r="40">
      <c r="A40" t="inlineStr">
        <is>
          <t>KOF</t>
        </is>
      </c>
      <c r="B40" t="inlineStr">
        <is>
          <t>COCA COLA FEMSA SAB DE CV</t>
        </is>
      </c>
      <c r="E40" t="n">
        <v>104.6900024414062</v>
      </c>
      <c r="V40" t="inlineStr">
        <is>
          <t>ProfitLoss</t>
        </is>
      </c>
      <c r="X40" t="inlineStr">
        <is>
          <t>C</t>
        </is>
      </c>
      <c r="Y40" t="inlineStr">
        <is>
          <t>2020-12-31</t>
        </is>
      </c>
      <c r="Z40" t="inlineStr">
        <is>
          <t>stale_2020-12-31</t>
        </is>
      </c>
      <c r="AA40" t="inlineStr">
        <is>
          <t>STALE: ultimo dato real es de 2020-12-31 (&gt;2 anios) -&gt; todos los ratios TTM se anulan a proposito</t>
        </is>
      </c>
    </row>
    <row r="41">
      <c r="A41" t="inlineStr">
        <is>
          <t>AMGN</t>
        </is>
      </c>
      <c r="B41" t="inlineStr">
        <is>
          <t>AMGEN INC</t>
        </is>
      </c>
      <c r="D41">
        <f>+E41/F41</f>
        <v/>
      </c>
      <c r="E41" t="n">
        <v>351.4299926757812</v>
      </c>
      <c r="F41">
        <f>G41/H41</f>
        <v/>
      </c>
      <c r="G41" t="n">
        <v>7800000000</v>
      </c>
      <c r="H41" t="n">
        <v>544000000</v>
      </c>
      <c r="I41" t="n">
        <v>14.23</v>
      </c>
      <c r="J41">
        <f>(K41/L41)^(1/5)-1</f>
        <v/>
      </c>
      <c r="K41" t="n">
        <v>14.23</v>
      </c>
      <c r="L41" t="n">
        <v>12.31</v>
      </c>
      <c r="M41">
        <f>G41/N41</f>
        <v/>
      </c>
      <c r="N41" t="n">
        <v>37220000000</v>
      </c>
      <c r="O41">
        <f>G41/P41</f>
        <v/>
      </c>
      <c r="P41">
        <f>(Q41+R41)/2</f>
        <v/>
      </c>
      <c r="Q41" t="n">
        <v>9190000000</v>
      </c>
      <c r="R41" t="n">
        <v>6207000000</v>
      </c>
      <c r="S41">
        <f>T41/G41</f>
        <v/>
      </c>
      <c r="T41" t="n">
        <v>5203000000</v>
      </c>
      <c r="V41" t="inlineStr">
        <is>
          <t>NetIncomeLoss</t>
        </is>
      </c>
      <c r="W41" t="inlineStr">
        <is>
          <t>RevenueFromContractWithCustomerExcludingAssessedTax</t>
        </is>
      </c>
      <c r="X41" t="inlineStr">
        <is>
          <t>B</t>
        </is>
      </c>
      <c r="Y41" t="inlineStr">
        <is>
          <t>2026-03-31</t>
        </is>
      </c>
    </row>
    <row r="42">
      <c r="A42" t="inlineStr">
        <is>
          <t>BG</t>
        </is>
      </c>
      <c r="B42" t="inlineStr">
        <is>
          <t>Bunge Global SA</t>
        </is>
      </c>
      <c r="D42">
        <f>+E42/F42</f>
        <v/>
      </c>
      <c r="E42" t="n">
        <v>108.9899978637695</v>
      </c>
      <c r="F42">
        <f>G42/H42</f>
        <v/>
      </c>
      <c r="G42" t="n">
        <v>683000000</v>
      </c>
      <c r="H42" t="n">
        <v>195733665</v>
      </c>
      <c r="I42" t="n">
        <v>4.91</v>
      </c>
      <c r="K42" t="n">
        <v>4.91</v>
      </c>
      <c r="M42">
        <f>G42/N42</f>
        <v/>
      </c>
      <c r="N42" t="n">
        <v>80547000000</v>
      </c>
      <c r="O42">
        <f>G42/P42</f>
        <v/>
      </c>
      <c r="P42">
        <f>(Q42+R42)/2</f>
        <v/>
      </c>
      <c r="Q42" t="n">
        <v>16045000000</v>
      </c>
      <c r="R42" t="n">
        <v>10578000000</v>
      </c>
      <c r="S42">
        <f>T42/G42</f>
        <v/>
      </c>
      <c r="T42" t="n">
        <v>504000000</v>
      </c>
      <c r="V42" t="inlineStr">
        <is>
          <t>NetIncomeLoss</t>
        </is>
      </c>
      <c r="W42" t="inlineStr">
        <is>
          <t>Revenues</t>
        </is>
      </c>
      <c r="X42" t="inlineStr">
        <is>
          <t>A</t>
        </is>
      </c>
      <c r="Y42" t="inlineStr">
        <is>
          <t>2026-03-31</t>
        </is>
      </c>
    </row>
    <row r="43">
      <c r="A43" t="inlineStr">
        <is>
          <t>PSO</t>
        </is>
      </c>
      <c r="B43" t="inlineStr">
        <is>
          <t>PEARSON PLC</t>
        </is>
      </c>
      <c r="AA43" t="inlineStr">
        <is>
          <t>Sin datos EDGAR: sin_datos_descargados (no se llego a calcular ningun ratio)</t>
        </is>
      </c>
    </row>
    <row r="44">
      <c r="A44" t="inlineStr">
        <is>
          <t>HON</t>
        </is>
      </c>
      <c r="B44" t="inlineStr">
        <is>
          <t>HONEYWELL INTERNATIONAL INC</t>
        </is>
      </c>
      <c r="D44">
        <f>+E44/F44</f>
        <v/>
      </c>
      <c r="E44" t="n">
        <v>227.4199981689453</v>
      </c>
      <c r="F44">
        <f>G44/H44</f>
        <v/>
      </c>
      <c r="G44" t="n">
        <v>4101000000</v>
      </c>
      <c r="H44" t="n">
        <v>638400000</v>
      </c>
      <c r="I44" t="n">
        <v>7.36</v>
      </c>
      <c r="J44">
        <f>(K44/L44)^(1/5)-1</f>
        <v/>
      </c>
      <c r="K44" t="n">
        <v>7.36</v>
      </c>
      <c r="L44" t="n">
        <v>6.72</v>
      </c>
      <c r="M44">
        <f>G44/N44</f>
        <v/>
      </c>
      <c r="N44" t="n">
        <v>37660000000</v>
      </c>
      <c r="O44">
        <f>G44/P44</f>
        <v/>
      </c>
      <c r="P44">
        <f>(Q44+R44)/2</f>
        <v/>
      </c>
      <c r="Q44" t="n">
        <v>13590000000</v>
      </c>
      <c r="R44" t="n">
        <v>17463000000</v>
      </c>
      <c r="S44">
        <f>T44/G44</f>
        <v/>
      </c>
      <c r="T44" t="n">
        <v>3025000000</v>
      </c>
      <c r="V44" t="inlineStr">
        <is>
          <t>NetIncomeLoss</t>
        </is>
      </c>
      <c r="W44" t="inlineStr">
        <is>
          <t>RevenueFromContractWithCustomerExcludingAssessedTax</t>
        </is>
      </c>
      <c r="X44" t="inlineStr">
        <is>
          <t>A</t>
        </is>
      </c>
      <c r="Y44" t="inlineStr">
        <is>
          <t>2026-03-31</t>
        </is>
      </c>
    </row>
    <row r="45">
      <c r="A45" t="inlineStr">
        <is>
          <t>ITUB</t>
        </is>
      </c>
      <c r="B45" t="inlineStr">
        <is>
          <t>Itau Unibanco Holding S.A.</t>
        </is>
      </c>
      <c r="E45" t="n">
        <v>7.880000114440918</v>
      </c>
      <c r="H45" t="n">
        <v>2288034273</v>
      </c>
      <c r="AA45"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46">
      <c r="A46" t="inlineStr">
        <is>
          <t>BSBR</t>
        </is>
      </c>
      <c r="B46" t="inlineStr">
        <is>
          <t>Banco Santander (Brasil) S.A.</t>
        </is>
      </c>
      <c r="AA46" t="inlineStr">
        <is>
          <t>Sin datos EDGAR: sin_datos_descargados (no se llego a calcular ningun ratio)</t>
        </is>
      </c>
    </row>
    <row r="47">
      <c r="A47" t="inlineStr">
        <is>
          <t>T</t>
        </is>
      </c>
      <c r="B47" t="inlineStr">
        <is>
          <t>AT&amp;T INC.</t>
        </is>
      </c>
      <c r="D47">
        <f>+E47/F47</f>
        <v/>
      </c>
      <c r="E47" t="n">
        <v>22.3700008392334</v>
      </c>
      <c r="F47">
        <f>G47/H47</f>
        <v/>
      </c>
      <c r="G47" t="n">
        <v>21431000000</v>
      </c>
      <c r="H47" t="n">
        <v>7027000000</v>
      </c>
      <c r="I47" t="n">
        <v>3.04</v>
      </c>
      <c r="K47" t="n">
        <v>3.04</v>
      </c>
      <c r="L47" t="n">
        <v>-0.75</v>
      </c>
      <c r="M47">
        <f>G47/N47</f>
        <v/>
      </c>
      <c r="N47" t="n">
        <v>126528000000</v>
      </c>
      <c r="S47">
        <f>T47/G47</f>
        <v/>
      </c>
      <c r="T47" t="n">
        <v>8086000000</v>
      </c>
      <c r="V47" t="inlineStr">
        <is>
          <t>NetIncomeLoss</t>
        </is>
      </c>
      <c r="W47" t="inlineStr">
        <is>
          <t>Revenues</t>
        </is>
      </c>
      <c r="X47" t="inlineStr">
        <is>
          <t>B</t>
        </is>
      </c>
      <c r="Y47" t="inlineStr">
        <is>
          <t>2026-03-31</t>
        </is>
      </c>
      <c r="AA47" t="inlineStr">
        <is>
          <t>ROE no disponible: no se encontro el tag StockholdersEquity con valor y fecha en los financials descargados</t>
        </is>
      </c>
    </row>
    <row r="48">
      <c r="A48" t="inlineStr">
        <is>
          <t>PEP</t>
        </is>
      </c>
      <c r="B48" t="inlineStr">
        <is>
          <t>PEPSICO INC</t>
        </is>
      </c>
      <c r="D48">
        <f>+E48/F48</f>
        <v/>
      </c>
      <c r="E48" t="n">
        <v>142.2700042724609</v>
      </c>
      <c r="F48">
        <f>G48/H48</f>
        <v/>
      </c>
      <c r="G48" t="n">
        <v>8733000000</v>
      </c>
      <c r="H48" t="n">
        <v>1371000000</v>
      </c>
      <c r="I48" t="n">
        <v>6</v>
      </c>
      <c r="J48">
        <f>(K48/L48)^(1/5)-1</f>
        <v/>
      </c>
      <c r="K48" t="n">
        <v>6</v>
      </c>
      <c r="L48" t="n">
        <v>5.12</v>
      </c>
      <c r="M48">
        <f>G48/N48</f>
        <v/>
      </c>
      <c r="N48" t="n">
        <v>95449000000</v>
      </c>
      <c r="O48">
        <f>G48/P48</f>
        <v/>
      </c>
      <c r="P48">
        <f>(Q48+R48)/2</f>
        <v/>
      </c>
      <c r="Q48" t="n">
        <v>21383000000</v>
      </c>
      <c r="R48" t="n">
        <v>18389000000</v>
      </c>
      <c r="S48">
        <f>T48/G48</f>
        <v/>
      </c>
      <c r="T48" t="n">
        <v>7722000000</v>
      </c>
      <c r="V48" t="inlineStr">
        <is>
          <t>NetIncomeLoss</t>
        </is>
      </c>
      <c r="W48" t="inlineStr">
        <is>
          <t>Revenues</t>
        </is>
      </c>
      <c r="X48" t="inlineStr">
        <is>
          <t>B</t>
        </is>
      </c>
      <c r="Y48" t="inlineStr">
        <is>
          <t>2026-03-21</t>
        </is>
      </c>
    </row>
    <row r="49">
      <c r="A49" t="inlineStr">
        <is>
          <t>XOM</t>
        </is>
      </c>
      <c r="B49" t="inlineStr">
        <is>
          <t>EXXON MOBIL CORP</t>
        </is>
      </c>
      <c r="D49">
        <f>+E49/F49</f>
        <v/>
      </c>
      <c r="E49" t="n">
        <v>136.8999938964844</v>
      </c>
      <c r="F49">
        <f>G49/H49</f>
        <v/>
      </c>
      <c r="G49" t="n">
        <v>25314000000</v>
      </c>
      <c r="H49" t="n">
        <v>4419000000</v>
      </c>
      <c r="I49" t="n">
        <v>6.7</v>
      </c>
      <c r="K49" t="n">
        <v>6.7</v>
      </c>
      <c r="L49" t="n">
        <v>-5.25</v>
      </c>
      <c r="M49">
        <f>G49/N49</f>
        <v/>
      </c>
      <c r="N49" t="n">
        <v>334246000000</v>
      </c>
      <c r="O49">
        <f>G49/P49</f>
        <v/>
      </c>
      <c r="P49">
        <f>(Q49+R49)/2</f>
        <v/>
      </c>
      <c r="Q49" t="n">
        <v>254381000000</v>
      </c>
      <c r="R49" t="n">
        <v>262720000000</v>
      </c>
      <c r="S49">
        <f>T49/G49</f>
        <v/>
      </c>
      <c r="T49" t="n">
        <v>17230000000</v>
      </c>
      <c r="V49" t="inlineStr">
        <is>
          <t>NetIncomeLoss</t>
        </is>
      </c>
      <c r="W49" t="inlineStr">
        <is>
          <t>Revenues</t>
        </is>
      </c>
      <c r="X49" t="inlineStr">
        <is>
          <t>B</t>
        </is>
      </c>
      <c r="Y49" t="inlineStr">
        <is>
          <t>2026-03-31</t>
        </is>
      </c>
    </row>
    <row r="50">
      <c r="A50" t="inlineStr">
        <is>
          <t>PFE</t>
        </is>
      </c>
      <c r="B50" t="inlineStr">
        <is>
          <t>PFIZER INC</t>
        </is>
      </c>
      <c r="D50">
        <f>+E50/F50</f>
        <v/>
      </c>
      <c r="E50" t="n">
        <v>24.04000091552734</v>
      </c>
      <c r="F50">
        <f>G50/H50</f>
        <v/>
      </c>
      <c r="G50" t="n">
        <v>7491000000</v>
      </c>
      <c r="H50" t="n">
        <v>5731000000</v>
      </c>
      <c r="I50" t="n">
        <v>1.36</v>
      </c>
      <c r="J50">
        <f>(K50/L50)^(1/5)-1</f>
        <v/>
      </c>
      <c r="K50" t="n">
        <v>1.36</v>
      </c>
      <c r="L50" t="n">
        <v>1.63</v>
      </c>
      <c r="M50">
        <f>G50/N50</f>
        <v/>
      </c>
      <c r="N50" t="n">
        <v>63315000000</v>
      </c>
      <c r="O50">
        <f>G50/P50</f>
        <v/>
      </c>
      <c r="P50">
        <f>(Q50+R50)/2</f>
        <v/>
      </c>
      <c r="Q50" t="n">
        <v>90101000000</v>
      </c>
      <c r="R50" t="n">
        <v>90338000000</v>
      </c>
      <c r="V50" t="inlineStr">
        <is>
          <t>NetIncomeLoss</t>
        </is>
      </c>
      <c r="W50" t="inlineStr">
        <is>
          <t>Revenues</t>
        </is>
      </c>
      <c r="X50" t="inlineStr">
        <is>
          <t>B</t>
        </is>
      </c>
      <c r="Y50" t="inlineStr">
        <is>
          <t>2026-03-29</t>
        </is>
      </c>
      <c r="AA50" t="inlineStr">
        <is>
          <t>Payout no disponible: no hay tag de dividendos pagados (PaymentsOfDividendsCommonStock/PaymentsOfDividends) -- normal en empresas que no reparten dividendos, o que no taggean ese dato</t>
        </is>
      </c>
    </row>
    <row r="51">
      <c r="A51" t="inlineStr">
        <is>
          <t>AXP</t>
        </is>
      </c>
      <c r="B51" t="inlineStr">
        <is>
          <t>AMERICAN EXPRESS CO</t>
        </is>
      </c>
      <c r="D51">
        <f>+E51/F51</f>
        <v/>
      </c>
      <c r="E51" t="n">
        <v>342.5599975585938</v>
      </c>
      <c r="F51">
        <f>G51/H51</f>
        <v/>
      </c>
      <c r="G51" t="n">
        <v>11220000000</v>
      </c>
      <c r="H51" t="n">
        <v>686000000</v>
      </c>
      <c r="I51" t="n">
        <v>15.38</v>
      </c>
      <c r="J51">
        <f>(K51/L51)^(1/5)-1</f>
        <v/>
      </c>
      <c r="K51" t="n">
        <v>15.38</v>
      </c>
      <c r="L51" t="n">
        <v>3.77</v>
      </c>
      <c r="M51">
        <f>G51/N51</f>
        <v/>
      </c>
      <c r="N51" t="n">
        <v>42195000000</v>
      </c>
      <c r="O51">
        <f>G51/P51</f>
        <v/>
      </c>
      <c r="P51">
        <f>(Q51+R51)/2</f>
        <v/>
      </c>
      <c r="Q51" t="n">
        <v>33995000000</v>
      </c>
      <c r="R51" t="n">
        <v>31202000000</v>
      </c>
      <c r="S51">
        <f>T51/G51</f>
        <v/>
      </c>
      <c r="T51" t="n">
        <v>2345000000</v>
      </c>
      <c r="V51" t="inlineStr">
        <is>
          <t>NetIncomeLoss</t>
        </is>
      </c>
      <c r="W51" t="inlineStr">
        <is>
          <t>RevenueFromContractWithCustomerExcludingAssessedTax</t>
        </is>
      </c>
      <c r="X51" t="inlineStr">
        <is>
          <t>B</t>
        </is>
      </c>
      <c r="Y51" t="inlineStr">
        <is>
          <t>2026-03-31</t>
        </is>
      </c>
    </row>
    <row r="52">
      <c r="A52" t="inlineStr">
        <is>
          <t>PCAR</t>
        </is>
      </c>
      <c r="B52" t="inlineStr">
        <is>
          <t>PACCAR INC</t>
        </is>
      </c>
      <c r="D52">
        <f>+E52/F52</f>
        <v/>
      </c>
      <c r="E52" t="n">
        <v>117.0299987792969</v>
      </c>
      <c r="F52">
        <f>G52/H52</f>
        <v/>
      </c>
      <c r="G52" t="n">
        <v>2476000000</v>
      </c>
      <c r="H52" t="n">
        <v>527400000</v>
      </c>
      <c r="I52" t="n">
        <v>4.51</v>
      </c>
      <c r="J52">
        <f>(K52/L52)^(1/5)-1</f>
        <v/>
      </c>
      <c r="K52" t="n">
        <v>4.51</v>
      </c>
      <c r="L52" t="n">
        <v>2.5</v>
      </c>
      <c r="M52">
        <f>G52/N52</f>
        <v/>
      </c>
      <c r="N52" t="n">
        <v>27779600000</v>
      </c>
      <c r="O52">
        <f>G52/P52</f>
        <v/>
      </c>
      <c r="P52">
        <f>(Q52+R52)/2</f>
        <v/>
      </c>
      <c r="Q52" t="n">
        <v>19756600000</v>
      </c>
      <c r="R52" t="n">
        <v>18022100000</v>
      </c>
      <c r="S52">
        <f>T52/G52</f>
        <v/>
      </c>
      <c r="T52" t="n">
        <v>1429500000</v>
      </c>
      <c r="V52" t="inlineStr">
        <is>
          <t>NetIncomeLoss</t>
        </is>
      </c>
      <c r="W52" t="inlineStr">
        <is>
          <t>Revenues</t>
        </is>
      </c>
      <c r="X52" t="inlineStr">
        <is>
          <t>B</t>
        </is>
      </c>
      <c r="Y52" t="inlineStr">
        <is>
          <t>2026-03-31</t>
        </is>
      </c>
    </row>
    <row r="53">
      <c r="A53" t="inlineStr">
        <is>
          <t>AEG</t>
        </is>
      </c>
      <c r="B53" t="inlineStr">
        <is>
          <t>AEGON LTD.</t>
        </is>
      </c>
      <c r="AA53" t="inlineStr">
        <is>
          <t>Sin datos EDGAR: sin_datos_descargados (no se llego a calcular ningun ratio)</t>
        </is>
      </c>
    </row>
    <row r="54">
      <c r="A54" t="inlineStr">
        <is>
          <t>ORCL</t>
        </is>
      </c>
      <c r="B54" t="inlineStr">
        <is>
          <t>ORACLE CORP</t>
        </is>
      </c>
      <c r="D54">
        <f>+E54/F54</f>
        <v/>
      </c>
      <c r="E54" t="n">
        <v>157.5299987792969</v>
      </c>
      <c r="F54">
        <f>G54/H54</f>
        <v/>
      </c>
      <c r="G54" t="n">
        <v>17087000000</v>
      </c>
      <c r="H54" t="n">
        <v>2914000000</v>
      </c>
      <c r="I54" t="n">
        <v>5.83</v>
      </c>
      <c r="J54">
        <f>(K54/L54)^(1/5)-1</f>
        <v/>
      </c>
      <c r="K54" t="n">
        <v>5.83</v>
      </c>
      <c r="L54" t="n">
        <v>4.55</v>
      </c>
      <c r="M54">
        <f>G54/N54</f>
        <v/>
      </c>
      <c r="N54" t="n">
        <v>67357000000</v>
      </c>
      <c r="O54">
        <f>G54/P54</f>
        <v/>
      </c>
      <c r="P54">
        <f>(Q54+R54)/2</f>
        <v/>
      </c>
      <c r="Q54" t="n">
        <v>42508000000</v>
      </c>
      <c r="R54" t="n">
        <v>20451000000</v>
      </c>
      <c r="S54">
        <f>T54/G54</f>
        <v/>
      </c>
      <c r="T54" t="n">
        <v>5787000000</v>
      </c>
      <c r="V54" t="inlineStr">
        <is>
          <t>NetIncomeLoss</t>
        </is>
      </c>
      <c r="W54" t="inlineStr">
        <is>
          <t>Revenues</t>
        </is>
      </c>
      <c r="X54" t="inlineStr">
        <is>
          <t>C</t>
        </is>
      </c>
      <c r="Y54" t="inlineStr">
        <is>
          <t>2026-05-31</t>
        </is>
      </c>
      <c r="Z54" t="inlineStr">
        <is>
          <t>ebitda_da_mas_intangibles;ni_es_fy_no_ttm</t>
        </is>
      </c>
      <c r="AA54" t="inlineStr">
        <is>
          <t>El 'TTM' de Net Income es en realidad el ultimo anio fiscal cerrado (estrategia C), no un TTM rodante -- puede divergir de Investing si hubo un item no recurrente en un trimestre reciente; D&amp;A incluye amortizacion de intangibles sumada aparte (el tag primario solo cubria PP&amp;E)</t>
        </is>
      </c>
    </row>
    <row r="55">
      <c r="A55" t="inlineStr">
        <is>
          <t>GSK</t>
        </is>
      </c>
      <c r="B55" t="inlineStr">
        <is>
          <t>GSK plc</t>
        </is>
      </c>
      <c r="AA55" t="inlineStr">
        <is>
          <t>Sin datos EDGAR: sin_datos_descargados (no se llego a calcular ningun ratio)</t>
        </is>
      </c>
    </row>
    <row r="56">
      <c r="A56" t="inlineStr">
        <is>
          <t>IBM</t>
        </is>
      </c>
      <c r="B56" t="inlineStr">
        <is>
          <t>INTERNATIONAL BUSINESS MACHINES CORP</t>
        </is>
      </c>
      <c r="D56">
        <f>+E56/F56</f>
        <v/>
      </c>
      <c r="E56" t="n">
        <v>262.9599914550781</v>
      </c>
      <c r="F56">
        <f>G56/H56</f>
        <v/>
      </c>
      <c r="G56" t="n">
        <v>10754000000</v>
      </c>
      <c r="H56" t="n">
        <v>952131057</v>
      </c>
      <c r="I56" t="n">
        <v>11.17</v>
      </c>
      <c r="J56">
        <f>(K56/L56)^(1/5)-1</f>
        <v/>
      </c>
      <c r="K56" t="n">
        <v>11.17</v>
      </c>
      <c r="L56" t="n">
        <v>6.23</v>
      </c>
      <c r="M56">
        <f>G56/N56</f>
        <v/>
      </c>
      <c r="N56" t="n">
        <v>68911000000</v>
      </c>
      <c r="O56">
        <f>G56/P56</f>
        <v/>
      </c>
      <c r="P56">
        <f>(Q56+R56)/2</f>
        <v/>
      </c>
      <c r="Q56" t="n">
        <v>32974000000</v>
      </c>
      <c r="R56" t="n">
        <v>26880000000</v>
      </c>
      <c r="S56">
        <f>T56/G56</f>
        <v/>
      </c>
      <c r="T56" t="n">
        <v>6282000000</v>
      </c>
      <c r="V56" t="inlineStr">
        <is>
          <t>NetIncomeLoss</t>
        </is>
      </c>
      <c r="W56" t="inlineStr">
        <is>
          <t>Revenues</t>
        </is>
      </c>
      <c r="X56" t="inlineStr">
        <is>
          <t>B</t>
        </is>
      </c>
      <c r="Y56" t="inlineStr">
        <is>
          <t>2026-03-31</t>
        </is>
      </c>
      <c r="Z56" t="inlineStr">
        <is>
          <t>ebitda_da_mas_intangibles</t>
        </is>
      </c>
      <c r="AA56" t="inlineStr">
        <is>
          <t>D&amp;A incluye amortizacion de intangibles sumada aparte (el tag primario solo cubria PP&amp;E)</t>
        </is>
      </c>
    </row>
    <row r="57">
      <c r="A57" t="inlineStr">
        <is>
          <t>WB</t>
        </is>
      </c>
      <c r="B57" t="inlineStr">
        <is>
          <t>WEIBO Corp</t>
        </is>
      </c>
      <c r="D57">
        <f>+E57/F57</f>
        <v/>
      </c>
      <c r="E57" t="n">
        <v>7.289999961853027</v>
      </c>
      <c r="F57">
        <f>G57/H57</f>
        <v/>
      </c>
      <c r="G57" t="n">
        <v>449020000</v>
      </c>
      <c r="H57" t="n">
        <v>268560000</v>
      </c>
      <c r="I57" t="n">
        <v>1.7</v>
      </c>
      <c r="J57">
        <f>(K57/L57)^(1/5)-1</f>
        <v/>
      </c>
      <c r="K57" t="n">
        <v>1.7</v>
      </c>
      <c r="L57" t="n">
        <v>1.38</v>
      </c>
      <c r="M57">
        <f>G57/N57</f>
        <v/>
      </c>
      <c r="N57" t="n">
        <v>1150054000</v>
      </c>
      <c r="O57">
        <f>G57/P57</f>
        <v/>
      </c>
      <c r="P57">
        <f>(Q57+R57)/2</f>
        <v/>
      </c>
      <c r="Q57" t="n">
        <v>3920729000</v>
      </c>
      <c r="R57" t="n">
        <v>3482771000</v>
      </c>
      <c r="S57">
        <f>T57/G57</f>
        <v/>
      </c>
      <c r="T57" t="n">
        <v>195644000</v>
      </c>
      <c r="V57" t="inlineStr">
        <is>
          <t>NetIncomeLoss</t>
        </is>
      </c>
      <c r="W57" t="inlineStr">
        <is>
          <t>SalesRevenueNet</t>
        </is>
      </c>
      <c r="X57" t="inlineStr">
        <is>
          <t>C</t>
        </is>
      </c>
      <c r="Y57" t="inlineStr">
        <is>
          <t>2025-12-31</t>
        </is>
      </c>
      <c r="Z57" t="inlineStr">
        <is>
          <t>ni_es_fy_no_ttm</t>
        </is>
      </c>
      <c r="AA57" t="inlineStr">
        <is>
          <t>El 'TTM' de Net Income es en realidad el ultimo anio fiscal cerrado (estrategia C), no un TTM rodante -- puede divergir de Investing si hubo un item no recurrente en un trimestre reciente</t>
        </is>
      </c>
    </row>
    <row r="58">
      <c r="A58" t="inlineStr">
        <is>
          <t>SID</t>
        </is>
      </c>
      <c r="B58" t="inlineStr">
        <is>
          <t>NATIONAL STEEL CO</t>
        </is>
      </c>
      <c r="E58" t="n">
        <v>0.9810000061988831</v>
      </c>
      <c r="V58" t="inlineStr">
        <is>
          <t>NetIncomeLoss</t>
        </is>
      </c>
      <c r="X58" t="inlineStr">
        <is>
          <t>C</t>
        </is>
      </c>
      <c r="Y58" t="inlineStr">
        <is>
          <t>2009-12-31</t>
        </is>
      </c>
      <c r="Z58" t="inlineStr">
        <is>
          <t>stale_2009-12-31</t>
        </is>
      </c>
      <c r="AA58" t="inlineStr">
        <is>
          <t>STALE: ultimo dato real es de 2009-12-31 (&gt;2 anios) -&gt; todos los ratios TTM se anulan a proposito</t>
        </is>
      </c>
    </row>
    <row r="59">
      <c r="A59" t="inlineStr">
        <is>
          <t>CAT</t>
        </is>
      </c>
      <c r="B59" t="inlineStr">
        <is>
          <t>CATERPILLAR INC</t>
        </is>
      </c>
      <c r="D59">
        <f>+E59/F59</f>
        <v/>
      </c>
      <c r="E59" t="n">
        <v>994.4500122070312</v>
      </c>
      <c r="F59">
        <f>G59/H59</f>
        <v/>
      </c>
      <c r="G59" t="n">
        <v>9427000000</v>
      </c>
      <c r="H59" t="n">
        <v>465800000</v>
      </c>
      <c r="I59" t="n">
        <v>18.81</v>
      </c>
      <c r="J59">
        <f>(K59/L59)^(1/5)-1</f>
        <v/>
      </c>
      <c r="K59" t="n">
        <v>18.81</v>
      </c>
      <c r="L59" t="n">
        <v>5.46</v>
      </c>
      <c r="M59">
        <f>G59/N59</f>
        <v/>
      </c>
      <c r="N59" t="n">
        <v>70755000000</v>
      </c>
      <c r="S59">
        <f>T59/G59</f>
        <v/>
      </c>
      <c r="T59" t="n">
        <v>2778000000</v>
      </c>
      <c r="V59" t="inlineStr">
        <is>
          <t>ProfitLoss</t>
        </is>
      </c>
      <c r="W59" t="inlineStr">
        <is>
          <t>Revenues</t>
        </is>
      </c>
      <c r="X59" t="inlineStr">
        <is>
          <t>B</t>
        </is>
      </c>
      <c r="Y59" t="inlineStr">
        <is>
          <t>2026-03-31</t>
        </is>
      </c>
      <c r="AA59" t="inlineStr">
        <is>
          <t>ROE no disponible: no se encontro el tag StockholdersEquity con valor y fecha en los financials descargados</t>
        </is>
      </c>
    </row>
    <row r="60">
      <c r="A60" t="inlineStr">
        <is>
          <t>KO</t>
        </is>
      </c>
      <c r="B60" t="inlineStr">
        <is>
          <t>COCA COLA CO</t>
        </is>
      </c>
      <c r="D60">
        <f>+E60/F60</f>
        <v/>
      </c>
      <c r="E60" t="n">
        <v>80.59999847412109</v>
      </c>
      <c r="F60">
        <f>G60/H60</f>
        <v/>
      </c>
      <c r="G60" t="n">
        <v>13701000000</v>
      </c>
      <c r="H60" t="n">
        <v>4314000000</v>
      </c>
      <c r="I60" t="n">
        <v>3.04</v>
      </c>
      <c r="J60">
        <f>(K60/L60)^(1/5)-1</f>
        <v/>
      </c>
      <c r="K60" t="n">
        <v>3.04</v>
      </c>
      <c r="L60" t="n">
        <v>1.79</v>
      </c>
      <c r="M60">
        <f>G60/N60</f>
        <v/>
      </c>
      <c r="N60" t="n">
        <v>49284000000</v>
      </c>
      <c r="O60">
        <f>G60/P60</f>
        <v/>
      </c>
      <c r="P60">
        <f>(Q60+R60)/2</f>
        <v/>
      </c>
      <c r="Q60" t="n">
        <v>33633000000</v>
      </c>
      <c r="R60" t="n">
        <v>26202000000</v>
      </c>
      <c r="S60">
        <f>T60/G60</f>
        <v/>
      </c>
      <c r="T60" t="n">
        <v>10971000000</v>
      </c>
      <c r="V60" t="inlineStr">
        <is>
          <t>NetIncomeLoss</t>
        </is>
      </c>
      <c r="W60" t="inlineStr">
        <is>
          <t>Revenues</t>
        </is>
      </c>
      <c r="X60" t="inlineStr">
        <is>
          <t>B</t>
        </is>
      </c>
      <c r="Y60" t="inlineStr">
        <is>
          <t>2026-04-03</t>
        </is>
      </c>
    </row>
    <row r="61">
      <c r="A61" t="inlineStr">
        <is>
          <t>XRX</t>
        </is>
      </c>
      <c r="B61" t="inlineStr">
        <is>
          <t>Xerox Holdings Corp</t>
        </is>
      </c>
      <c r="D61">
        <f>+E61/F61</f>
        <v/>
      </c>
      <c r="E61" t="n">
        <v>3.140000104904175</v>
      </c>
      <c r="F61">
        <f>G61/H61</f>
        <v/>
      </c>
      <c r="G61" t="n">
        <v>-1044000000</v>
      </c>
      <c r="H61" t="n">
        <v>126003000</v>
      </c>
      <c r="I61" t="n">
        <v>-8.25</v>
      </c>
      <c r="J61">
        <f>(K61/L61)^(1/5)-1</f>
        <v/>
      </c>
      <c r="K61" t="n">
        <v>-8.25</v>
      </c>
      <c r="L61" t="n">
        <v>0.84</v>
      </c>
      <c r="M61">
        <f>G61/N61</f>
        <v/>
      </c>
      <c r="N61" t="n">
        <v>7411000000</v>
      </c>
      <c r="O61">
        <f>G61/P61</f>
        <v/>
      </c>
      <c r="P61">
        <f>(Q61+R61)/2</f>
        <v/>
      </c>
      <c r="Q61" t="n">
        <v>299000000</v>
      </c>
      <c r="R61" t="n">
        <v>1053000000</v>
      </c>
      <c r="S61">
        <f>T61/G61</f>
        <v/>
      </c>
      <c r="T61" t="n">
        <v>28000000</v>
      </c>
      <c r="V61" t="inlineStr">
        <is>
          <t>NetIncomeLoss</t>
        </is>
      </c>
      <c r="W61" t="inlineStr">
        <is>
          <t>RevenueFromContractWithCustomerExcludingAssessedTax</t>
        </is>
      </c>
      <c r="X61" t="inlineStr">
        <is>
          <t>B</t>
        </is>
      </c>
      <c r="Y61" t="inlineStr">
        <is>
          <t>2026-03-31</t>
        </is>
      </c>
    </row>
    <row r="62">
      <c r="A62" t="inlineStr">
        <is>
          <t>HMC</t>
        </is>
      </c>
      <c r="B62" t="inlineStr">
        <is>
          <t>HONDA MOTOR CO LTD</t>
        </is>
      </c>
      <c r="E62" t="n">
        <v>25.76000022888184</v>
      </c>
      <c r="H62" t="n">
        <v>1802294383</v>
      </c>
      <c r="AA62"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Payout no disponible: no hay tag de dividendos pagados (PaymentsOfDividendsCommonStock/PaymentsOfDividends) -- normal en empresas que no reparten dividendos, o que no taggean ese dato</t>
        </is>
      </c>
    </row>
    <row r="63">
      <c r="A63" t="inlineStr">
        <is>
          <t>USB</t>
        </is>
      </c>
      <c r="B63" t="inlineStr">
        <is>
          <t>US BANCORP DE</t>
        </is>
      </c>
      <c r="D63">
        <f>+E63/F63</f>
        <v/>
      </c>
      <c r="E63" t="n">
        <v>60.11000061035156</v>
      </c>
      <c r="F63">
        <f>G63/H63</f>
        <v/>
      </c>
      <c r="G63" t="n">
        <v>7806000000</v>
      </c>
      <c r="H63" t="n">
        <v>1555000000</v>
      </c>
      <c r="I63" t="n">
        <v>4.62</v>
      </c>
      <c r="J63">
        <f>(K63/L63)^(1/5)-1</f>
        <v/>
      </c>
      <c r="K63" t="n">
        <v>4.62</v>
      </c>
      <c r="L63" t="n">
        <v>3.06</v>
      </c>
      <c r="M63">
        <f>G63/N63</f>
        <v/>
      </c>
      <c r="N63" t="n">
        <v>28986000000</v>
      </c>
      <c r="O63">
        <f>G63/P63</f>
        <v/>
      </c>
      <c r="P63">
        <f>(Q63+R63)/2</f>
        <v/>
      </c>
      <c r="Q63" t="n">
        <v>65786000000</v>
      </c>
      <c r="R63" t="n">
        <v>60096000000</v>
      </c>
      <c r="S63">
        <f>T63/G63</f>
        <v/>
      </c>
      <c r="T63" t="n">
        <v>3197000000</v>
      </c>
      <c r="V63" t="inlineStr">
        <is>
          <t>NetIncomeLoss</t>
        </is>
      </c>
      <c r="W63" t="inlineStr">
        <is>
          <t>Revenues</t>
        </is>
      </c>
      <c r="X63" t="inlineStr">
        <is>
          <t>B</t>
        </is>
      </c>
      <c r="Y63" t="inlineStr">
        <is>
          <t>2026-03-31</t>
        </is>
      </c>
    </row>
    <row r="64">
      <c r="A64" t="inlineStr">
        <is>
          <t>NGG</t>
        </is>
      </c>
      <c r="B64" t="inlineStr">
        <is>
          <t>NATIONAL GRID PLC</t>
        </is>
      </c>
      <c r="AA64" t="inlineStr">
        <is>
          <t>Sin datos EDGAR: sin_datos_descargados (no se llego a calcular ningun ratio)</t>
        </is>
      </c>
    </row>
    <row r="65">
      <c r="A65" t="inlineStr">
        <is>
          <t>DE</t>
        </is>
      </c>
      <c r="B65" t="inlineStr">
        <is>
          <t>DEERE &amp; CO</t>
        </is>
      </c>
      <c r="D65">
        <f>+E65/F65</f>
        <v/>
      </c>
      <c r="E65" t="n">
        <v>600.75</v>
      </c>
      <c r="F65">
        <f>G65/H65</f>
        <v/>
      </c>
      <c r="G65" t="n">
        <v>4783000000</v>
      </c>
      <c r="H65" t="n">
        <v>270900000</v>
      </c>
      <c r="I65" t="n">
        <v>18.5</v>
      </c>
      <c r="J65">
        <f>(K65/L65)^(1/5)-1</f>
        <v/>
      </c>
      <c r="K65" t="n">
        <v>18.5</v>
      </c>
      <c r="L65" t="n">
        <v>8.69</v>
      </c>
      <c r="M65">
        <f>G65/N65</f>
        <v/>
      </c>
      <c r="N65" t="n">
        <v>47393000000</v>
      </c>
      <c r="O65">
        <f>G65/P65</f>
        <v/>
      </c>
      <c r="P65">
        <f>(Q65+R65)/2</f>
        <v/>
      </c>
      <c r="Q65" t="n">
        <v>27406000000</v>
      </c>
      <c r="R65" t="n">
        <v>24287000000</v>
      </c>
      <c r="S65">
        <f>T65/G65</f>
        <v/>
      </c>
      <c r="T65" t="n">
        <v>1755000000</v>
      </c>
      <c r="V65" t="inlineStr">
        <is>
          <t>NetIncomeLoss</t>
        </is>
      </c>
      <c r="W65" t="inlineStr">
        <is>
          <t>Revenues</t>
        </is>
      </c>
      <c r="X65" t="inlineStr">
        <is>
          <t>B</t>
        </is>
      </c>
      <c r="Y65" t="inlineStr">
        <is>
          <t>2026-05-03</t>
        </is>
      </c>
    </row>
    <row r="66">
      <c r="A66" t="inlineStr">
        <is>
          <t>GE</t>
        </is>
      </c>
      <c r="B66" t="inlineStr">
        <is>
          <t>GENERAL ELECTRIC CO</t>
        </is>
      </c>
      <c r="D66">
        <f>+E66/F66</f>
        <v/>
      </c>
      <c r="E66" t="n">
        <v>365.8800048828125</v>
      </c>
      <c r="F66">
        <f>G66/H66</f>
        <v/>
      </c>
      <c r="G66" t="n">
        <v>8630000000</v>
      </c>
      <c r="H66" t="n">
        <v>1054000000</v>
      </c>
      <c r="I66" t="n">
        <v>8.140000000000001</v>
      </c>
      <c r="J66">
        <f>(K66/L66)^(1/5)-1</f>
        <v/>
      </c>
      <c r="K66" t="n">
        <v>8.140000000000001</v>
      </c>
      <c r="L66" t="n">
        <v>4.63</v>
      </c>
      <c r="M66">
        <f>G66/N66</f>
        <v/>
      </c>
      <c r="N66" t="n">
        <v>48312000000</v>
      </c>
      <c r="O66">
        <f>G66/P66</f>
        <v/>
      </c>
      <c r="P66">
        <f>(Q66+R66)/2</f>
        <v/>
      </c>
      <c r="Q66" t="n">
        <v>18057000000</v>
      </c>
      <c r="R66" t="n">
        <v>19251000000</v>
      </c>
      <c r="V66" t="inlineStr">
        <is>
          <t>NetIncomeLoss</t>
        </is>
      </c>
      <c r="W66" t="inlineStr">
        <is>
          <t>Revenues</t>
        </is>
      </c>
      <c r="X66" t="inlineStr">
        <is>
          <t>B</t>
        </is>
      </c>
      <c r="Y66" t="inlineStr">
        <is>
          <t>2026-03-31</t>
        </is>
      </c>
      <c r="AA66" t="inlineStr">
        <is>
          <t>Payout no disponible: no hay tag de dividendos pagados (PaymentsOfDividendsCommonStock/PaymentsOfDividends) -- normal en empresas que no reparten dividendos, o que no taggean ese dato</t>
        </is>
      </c>
    </row>
    <row r="67">
      <c r="A67" t="inlineStr">
        <is>
          <t>TM</t>
        </is>
      </c>
      <c r="B67" t="inlineStr">
        <is>
          <t>TOYOTA MOTOR CORP/</t>
        </is>
      </c>
      <c r="E67" t="n">
        <v>167.7599945068359</v>
      </c>
      <c r="K67" t="n">
        <v>3.23</v>
      </c>
      <c r="V67" t="inlineStr">
        <is>
          <t>NetIncomeLoss</t>
        </is>
      </c>
      <c r="W67" t="inlineStr">
        <is>
          <t>Revenues</t>
        </is>
      </c>
      <c r="X67" t="inlineStr">
        <is>
          <t>C</t>
        </is>
      </c>
      <c r="Y67" t="inlineStr">
        <is>
          <t>2013-03-31</t>
        </is>
      </c>
      <c r="Z67" t="inlineStr">
        <is>
          <t>stale_2013-03-31</t>
        </is>
      </c>
      <c r="AA67" t="inlineStr">
        <is>
          <t>STALE: ultimo dato real es de 2013-03-31 (&gt;2 anios) -&gt; todos los ratios TTM se anulan a proposito</t>
        </is>
      </c>
    </row>
    <row r="68">
      <c r="A68" t="inlineStr">
        <is>
          <t>C</t>
        </is>
      </c>
      <c r="B68" t="inlineStr">
        <is>
          <t>CITIGROUP INC</t>
        </is>
      </c>
      <c r="D68">
        <f>+E68/F68</f>
        <v/>
      </c>
      <c r="E68" t="n">
        <v>143.5899963378906</v>
      </c>
      <c r="F68">
        <f>G68/H68</f>
        <v/>
      </c>
      <c r="G68" t="n">
        <v>14306000000</v>
      </c>
      <c r="H68" t="n">
        <v>1873100000</v>
      </c>
      <c r="I68" t="n">
        <v>6.99</v>
      </c>
      <c r="J68">
        <f>(K68/L68)^(1/5)-1</f>
        <v/>
      </c>
      <c r="K68" t="n">
        <v>6.99</v>
      </c>
      <c r="L68" t="n">
        <v>4.72</v>
      </c>
      <c r="M68">
        <f>G68/N68</f>
        <v/>
      </c>
      <c r="N68" t="n">
        <v>85225000000</v>
      </c>
      <c r="O68">
        <f>G68/P68</f>
        <v/>
      </c>
      <c r="P68">
        <f>(Q68+R68)/2</f>
        <v/>
      </c>
      <c r="Q68" t="n">
        <v>212291000000</v>
      </c>
      <c r="R68" t="n">
        <v>208598000000</v>
      </c>
      <c r="S68">
        <f>T68/G68</f>
        <v/>
      </c>
      <c r="T68" t="n">
        <v>5372000000</v>
      </c>
      <c r="V68" t="inlineStr">
        <is>
          <t>NetIncomeLoss</t>
        </is>
      </c>
      <c r="W68" t="inlineStr">
        <is>
          <t>Revenues</t>
        </is>
      </c>
      <c r="X68" t="inlineStr">
        <is>
          <t>C</t>
        </is>
      </c>
      <c r="Y68" t="inlineStr">
        <is>
          <t>2025-12-31</t>
        </is>
      </c>
      <c r="Z68" t="inlineStr">
        <is>
          <t>ni_es_fy_no_ttm</t>
        </is>
      </c>
      <c r="AA68" t="inlineStr">
        <is>
          <t>El 'TTM' de Net Income es en realidad el ultimo anio fiscal cerrado (estrategia C), no un TTM rodante -- puede divergir de Investing si hubo un item no recurrente en un trimestre reciente</t>
        </is>
      </c>
    </row>
    <row r="69">
      <c r="A69" t="inlineStr">
        <is>
          <t>JPM</t>
        </is>
      </c>
      <c r="B69" t="inlineStr">
        <is>
          <t>JPMORGAN CHASE &amp; CO</t>
        </is>
      </c>
      <c r="D69">
        <f>+E69/F69</f>
        <v/>
      </c>
      <c r="E69" t="n">
        <v>333.4500122070312</v>
      </c>
      <c r="F69">
        <f>G69/H69</f>
        <v/>
      </c>
      <c r="G69" t="n">
        <v>58899000000</v>
      </c>
      <c r="H69" t="n">
        <v>2720200000</v>
      </c>
      <c r="I69" t="n">
        <v>20.02</v>
      </c>
      <c r="J69">
        <f>(K69/L69)^(1/5)-1</f>
        <v/>
      </c>
      <c r="K69" t="n">
        <v>20.02</v>
      </c>
      <c r="L69" t="n">
        <v>8.880000000000001</v>
      </c>
      <c r="M69">
        <f>G69/N69</f>
        <v/>
      </c>
      <c r="N69" t="n">
        <v>182447000000</v>
      </c>
      <c r="O69">
        <f>G69/P69</f>
        <v/>
      </c>
      <c r="P69">
        <f>(Q69+R69)/2</f>
        <v/>
      </c>
      <c r="Q69" t="n">
        <v>364038000000</v>
      </c>
      <c r="R69" t="n">
        <v>351420000000</v>
      </c>
      <c r="S69">
        <f>T69/G69</f>
        <v/>
      </c>
      <c r="T69" t="n">
        <v>17176000000</v>
      </c>
      <c r="V69" t="inlineStr">
        <is>
          <t>NetIncomeLoss</t>
        </is>
      </c>
      <c r="W69" t="inlineStr">
        <is>
          <t>Revenues</t>
        </is>
      </c>
      <c r="X69" t="inlineStr">
        <is>
          <t>B</t>
        </is>
      </c>
      <c r="Y69" t="inlineStr">
        <is>
          <t>2026-03-31</t>
        </is>
      </c>
    </row>
    <row r="70">
      <c r="A70" t="inlineStr">
        <is>
          <t>BAC</t>
        </is>
      </c>
      <c r="B70" t="inlineStr">
        <is>
          <t>BANK OF AMERICA CORP /DE/</t>
        </is>
      </c>
      <c r="D70">
        <f>+E70/F70</f>
        <v/>
      </c>
      <c r="E70" t="n">
        <v>57.72999954223633</v>
      </c>
      <c r="F70">
        <f>G70/H70</f>
        <v/>
      </c>
      <c r="G70" t="n">
        <v>31733000000</v>
      </c>
      <c r="H70" t="n">
        <v>7417500000</v>
      </c>
      <c r="I70" t="n">
        <v>3.81</v>
      </c>
      <c r="J70">
        <f>(K70/L70)^(1/5)-1</f>
        <v/>
      </c>
      <c r="K70" t="n">
        <v>3.81</v>
      </c>
      <c r="L70" t="n">
        <v>1.87</v>
      </c>
      <c r="M70">
        <f>G70/N70</f>
        <v/>
      </c>
      <c r="N70" t="n">
        <v>115122000000</v>
      </c>
      <c r="O70">
        <f>G70/P70</f>
        <v/>
      </c>
      <c r="P70">
        <f>(Q70+R70)/2</f>
        <v/>
      </c>
      <c r="Q70" t="n">
        <v>300668000000</v>
      </c>
      <c r="R70" t="n">
        <v>293949000000</v>
      </c>
      <c r="S70">
        <f>T70/G70</f>
        <v/>
      </c>
      <c r="T70" t="n">
        <v>1427000000</v>
      </c>
      <c r="V70" t="inlineStr">
        <is>
          <t>NetIncomeLoss</t>
        </is>
      </c>
      <c r="W70" t="inlineStr">
        <is>
          <t>Revenues</t>
        </is>
      </c>
      <c r="X70" t="inlineStr">
        <is>
          <t>B</t>
        </is>
      </c>
      <c r="Y70" t="inlineStr">
        <is>
          <t>2026-03-31</t>
        </is>
      </c>
    </row>
    <row r="71">
      <c r="A71" t="inlineStr">
        <is>
          <t>MRK</t>
        </is>
      </c>
      <c r="B71" t="inlineStr">
        <is>
          <t>Merck &amp; Co., Inc.</t>
        </is>
      </c>
      <c r="D71">
        <f>+E71/F71</f>
        <v/>
      </c>
      <c r="E71" t="n">
        <v>120.5999984741211</v>
      </c>
      <c r="F71">
        <f>G71/H71</f>
        <v/>
      </c>
      <c r="G71" t="n">
        <v>8935000000</v>
      </c>
      <c r="H71" t="n">
        <v>2472000000</v>
      </c>
      <c r="I71" t="n">
        <v>7.28</v>
      </c>
      <c r="J71">
        <f>(K71/L71)^(1/5)-1</f>
        <v/>
      </c>
      <c r="K71" t="n">
        <v>7.28</v>
      </c>
      <c r="L71" t="n">
        <v>2.78</v>
      </c>
      <c r="M71">
        <f>G71/N71</f>
        <v/>
      </c>
      <c r="N71" t="n">
        <v>65768000000</v>
      </c>
      <c r="O71">
        <f>G71/P71</f>
        <v/>
      </c>
      <c r="P71">
        <f>(Q71+R71)/2</f>
        <v/>
      </c>
      <c r="Q71" t="n">
        <v>45878000000</v>
      </c>
      <c r="R71" t="n">
        <v>48335000000</v>
      </c>
      <c r="S71">
        <f>T71/G71</f>
        <v/>
      </c>
      <c r="T71" t="n">
        <v>8231000000</v>
      </c>
      <c r="V71" t="inlineStr">
        <is>
          <t>NetIncomeLoss</t>
        </is>
      </c>
      <c r="W71" t="inlineStr">
        <is>
          <t>Revenues</t>
        </is>
      </c>
      <c r="X71" t="inlineStr">
        <is>
          <t>B</t>
        </is>
      </c>
      <c r="Y71" t="inlineStr">
        <is>
          <t>2026-03-31</t>
        </is>
      </c>
    </row>
    <row r="72">
      <c r="A72" t="inlineStr">
        <is>
          <t>BBD</t>
        </is>
      </c>
      <c r="B72" t="inlineStr">
        <is>
          <t>BANK BRADESCO</t>
        </is>
      </c>
      <c r="E72" t="n">
        <v>3.369999885559082</v>
      </c>
      <c r="AA72" t="inlineStr">
        <is>
          <t>Margen Neto no disponible: no se encontro ningun tag de Revenue (Revenues/RevenueFromContract.../SalesRevenueNet) -- tipico de bancos/holdings que no reportan una linea unica de ingresos; ROE no disponible: no se encontro el tag StockholdersEquity con valor y fecha en los financials descargados; EPS_TTM/PER no disponibles: no hay WeightedAverageNumberOfDilutedSharesOutstanding ni ...Basic con valor (o se descarto por error de escala, ver flag shares_descartadas_escala); Payout no disponible: no hay tag de dividendos pagados (PaymentsOfDividendsCommonStock/PaymentsOfDividends) -- normal en empresas que no reparten dividendos, o que no taggean ese dato</t>
        </is>
      </c>
    </row>
    <row r="73">
      <c r="A73" t="inlineStr">
        <is>
          <t>LLY</t>
        </is>
      </c>
      <c r="B73" t="inlineStr">
        <is>
          <t>ELI LILLY &amp; Co</t>
        </is>
      </c>
      <c r="D73">
        <f>+E73/F73</f>
        <v/>
      </c>
      <c r="E73" t="n">
        <v>1117.260009765625</v>
      </c>
      <c r="F73">
        <f>G73/H73</f>
        <v/>
      </c>
      <c r="G73" t="n">
        <v>25277000000</v>
      </c>
      <c r="H73" t="n">
        <v>895900000</v>
      </c>
      <c r="I73" t="n">
        <v>22.95</v>
      </c>
      <c r="J73">
        <f>(K73/L73)^(1/5)-1</f>
        <v/>
      </c>
      <c r="K73" t="n">
        <v>22.95</v>
      </c>
      <c r="L73" t="n">
        <v>6.79</v>
      </c>
      <c r="M73">
        <f>G73/N73</f>
        <v/>
      </c>
      <c r="N73" t="n">
        <v>72249000000</v>
      </c>
      <c r="O73">
        <f>G73/P73</f>
        <v/>
      </c>
      <c r="P73">
        <f>(Q73+R73)/2</f>
        <v/>
      </c>
      <c r="Q73" t="n">
        <v>31198000000</v>
      </c>
      <c r="R73" t="n">
        <v>15764800000</v>
      </c>
      <c r="S73">
        <f>T73/G73</f>
        <v/>
      </c>
      <c r="T73" t="n">
        <v>5586000000</v>
      </c>
      <c r="V73" t="inlineStr">
        <is>
          <t>NetIncomeLoss</t>
        </is>
      </c>
      <c r="W73" t="inlineStr">
        <is>
          <t>Revenues</t>
        </is>
      </c>
      <c r="X73" t="inlineStr">
        <is>
          <t>B</t>
        </is>
      </c>
      <c r="Y73" t="inlineStr">
        <is>
          <t>2026-03-31</t>
        </is>
      </c>
    </row>
    <row r="74">
      <c r="A74" t="inlineStr">
        <is>
          <t>KB</t>
        </is>
      </c>
      <c r="B74" t="inlineStr">
        <is>
          <t>KB Financial Group Inc.</t>
        </is>
      </c>
      <c r="E74" t="n">
        <v>99.91000366210938</v>
      </c>
      <c r="K74" t="n">
        <v>-1.516</v>
      </c>
      <c r="V74" t="inlineStr">
        <is>
          <t>NetIncomeLoss</t>
        </is>
      </c>
      <c r="X74" t="inlineStr">
        <is>
          <t>C</t>
        </is>
      </c>
      <c r="Y74" t="inlineStr">
        <is>
          <t>2010-12-31</t>
        </is>
      </c>
      <c r="Z74" t="inlineStr">
        <is>
          <t>stale_2010-12-31</t>
        </is>
      </c>
      <c r="AA74" t="inlineStr">
        <is>
          <t>STALE: ultimo dato real es de 2010-12-31 (&gt;2 anios) -&gt; todos los ratios TTM se anulan a proposito</t>
        </is>
      </c>
    </row>
    <row r="75">
      <c r="A75" t="inlineStr">
        <is>
          <t>VZ</t>
        </is>
      </c>
      <c r="B75" t="inlineStr">
        <is>
          <t>VERIZON COMMUNICATIONS INC</t>
        </is>
      </c>
      <c r="D75">
        <f>+E75/F75</f>
        <v/>
      </c>
      <c r="E75" t="n">
        <v>45.68000030517578</v>
      </c>
      <c r="F75">
        <f>G75/H75</f>
        <v/>
      </c>
      <c r="G75" t="n">
        <v>17340000000</v>
      </c>
      <c r="H75" t="n">
        <v>4210000000</v>
      </c>
      <c r="I75" t="n">
        <v>4.06</v>
      </c>
      <c r="J75">
        <f>(K75/L75)^(1/5)-1</f>
        <v/>
      </c>
      <c r="K75" t="n">
        <v>4.06</v>
      </c>
      <c r="L75" t="n">
        <v>4.3</v>
      </c>
      <c r="M75">
        <f>G75/N75</f>
        <v/>
      </c>
      <c r="N75" t="n">
        <v>139146000000</v>
      </c>
      <c r="S75">
        <f>T75/G75</f>
        <v/>
      </c>
      <c r="T75" t="n">
        <v>11535000000</v>
      </c>
      <c r="V75" t="inlineStr">
        <is>
          <t>NetIncomeLoss</t>
        </is>
      </c>
      <c r="W75" t="inlineStr">
        <is>
          <t>Revenues</t>
        </is>
      </c>
      <c r="X75" t="inlineStr">
        <is>
          <t>B</t>
        </is>
      </c>
      <c r="Y75" t="inlineStr">
        <is>
          <t>2026-03-31</t>
        </is>
      </c>
      <c r="AA75" t="inlineStr">
        <is>
          <t>ROE no disponible: no se encontro el tag StockholdersEquity con valor y fecha en los financials descargados</t>
        </is>
      </c>
    </row>
    <row r="76">
      <c r="A76" t="inlineStr">
        <is>
          <t>HWM</t>
        </is>
      </c>
      <c r="B76" t="inlineStr">
        <is>
          <t>Howmet Aerospace Inc.</t>
        </is>
      </c>
      <c r="D76">
        <f>+E76/F76</f>
        <v/>
      </c>
      <c r="E76" t="n">
        <v>276.0599975585938</v>
      </c>
      <c r="F76">
        <f>G76/H76</f>
        <v/>
      </c>
      <c r="G76" t="n">
        <v>1744000000</v>
      </c>
      <c r="H76" t="n">
        <v>403000000</v>
      </c>
      <c r="I76" t="n">
        <v>3.71</v>
      </c>
      <c r="J76">
        <f>(K76/L76)^(1/5)-1</f>
        <v/>
      </c>
      <c r="K76" t="n">
        <v>3.71</v>
      </c>
      <c r="L76" t="n">
        <v>1.03</v>
      </c>
      <c r="M76">
        <f>G76/N76</f>
        <v/>
      </c>
      <c r="N76" t="n">
        <v>8623000000</v>
      </c>
      <c r="O76">
        <f>G76/P76</f>
        <v/>
      </c>
      <c r="P76">
        <f>(Q76+R76)/2</f>
        <v/>
      </c>
      <c r="Q76" t="n">
        <v>5522000000</v>
      </c>
      <c r="R76" t="n">
        <v>4792000000</v>
      </c>
      <c r="S76">
        <f>T76/G76</f>
        <v/>
      </c>
      <c r="T76" t="n">
        <v>228000000</v>
      </c>
      <c r="V76" t="inlineStr">
        <is>
          <t>NetIncomeLoss</t>
        </is>
      </c>
      <c r="W76" t="inlineStr">
        <is>
          <t>RevenueFromContractWithCustomerExcludingAssessedTax</t>
        </is>
      </c>
      <c r="X76" t="inlineStr">
        <is>
          <t>B</t>
        </is>
      </c>
      <c r="Y76" t="inlineStr">
        <is>
          <t>2026-03-31</t>
        </is>
      </c>
    </row>
    <row r="77">
      <c r="A77" t="inlineStr">
        <is>
          <t>ING</t>
        </is>
      </c>
      <c r="B77" t="inlineStr">
        <is>
          <t>ING GROEP NV</t>
        </is>
      </c>
      <c r="AA77" t="inlineStr">
        <is>
          <t>Sin datos EDGAR: sin_datos_descargados (no se llego a calcular ningun ratio)</t>
        </is>
      </c>
    </row>
    <row r="78">
      <c r="A78" t="inlineStr">
        <is>
          <t>NMR</t>
        </is>
      </c>
      <c r="B78" t="inlineStr">
        <is>
          <t>NOMURA HOLDINGS INC</t>
        </is>
      </c>
      <c r="E78" t="n">
        <v>8.609999656677246</v>
      </c>
      <c r="K78" t="n">
        <v>0.09</v>
      </c>
      <c r="V78" t="inlineStr">
        <is>
          <t>NetIncomeLoss</t>
        </is>
      </c>
      <c r="W78" t="inlineStr">
        <is>
          <t>Revenues</t>
        </is>
      </c>
      <c r="X78" t="inlineStr">
        <is>
          <t>C</t>
        </is>
      </c>
      <c r="Y78" t="inlineStr">
        <is>
          <t>2011-03-31</t>
        </is>
      </c>
      <c r="Z78" t="inlineStr">
        <is>
          <t>shares_descartadas_escala;stale_2011-03-31</t>
        </is>
      </c>
      <c r="AA78" t="inlineStr">
        <is>
          <t>STALE: ultimo dato real es de 2011-03-31 (&gt;2 anios) -&gt; todos los ratios TTM se anulan a proposito; Shares diluidas descartadas: el valor tageado en EDGAR difiere &gt;100x del CommonStockSharesOutstanding (dato crudo con error de escala en el filing)</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B7"/>
  <sheetViews>
    <sheetView workbookViewId="0">
      <selection activeCell="A1" sqref="A1"/>
    </sheetView>
  </sheetViews>
  <sheetFormatPr baseColWidth="10" defaultColWidth="14.42578125" defaultRowHeight="15" customHeight="1"/>
  <sheetData>
    <row r="1">
      <c r="A1" s="2" t="inlineStr">
        <is>
          <t>Cuentas</t>
        </is>
      </c>
    </row>
    <row r="2">
      <c r="A2" s="2" t="inlineStr">
        <is>
          <t>TIKR</t>
        </is>
      </c>
      <c r="B2" s="42" t="inlineStr">
        <is>
          <t>https://app.tikr.com/</t>
        </is>
      </c>
    </row>
    <row r="3">
      <c r="A3" s="2" t="inlineStr">
        <is>
          <t>user</t>
        </is>
      </c>
      <c r="B3" s="2" t="inlineStr">
        <is>
          <t>marcelolezcano_17@hotmail.com.ar</t>
        </is>
      </c>
    </row>
    <row r="4">
      <c r="A4" s="2" t="inlineStr">
        <is>
          <t>clave</t>
        </is>
      </c>
      <c r="B4" s="43" t="n">
        <v>33350055</v>
      </c>
    </row>
    <row r="5">
      <c r="A5" s="2" t="inlineStr">
        <is>
          <t>investing</t>
        </is>
      </c>
      <c r="B5" s="42" t="inlineStr">
        <is>
          <t>https://es.investing.com/</t>
        </is>
      </c>
    </row>
    <row r="6">
      <c r="A6" s="2" t="inlineStr">
        <is>
          <t>user</t>
        </is>
      </c>
      <c r="B6" s="2" t="inlineStr">
        <is>
          <t>contacto@catalaxia.com.ar</t>
        </is>
      </c>
    </row>
    <row r="7">
      <c r="A7" s="2" t="inlineStr">
        <is>
          <t>pass</t>
        </is>
      </c>
      <c r="B7" s="2" t="inlineStr">
        <is>
          <t>Expl.Inv.25$</t>
        </is>
      </c>
    </row>
  </sheetData>
  <hyperlinks>
    <hyperlink xmlns:r="http://schemas.openxmlformats.org/officeDocument/2006/relationships" ref="B2" r:id="rId1"/>
    <hyperlink xmlns:r="http://schemas.openxmlformats.org/officeDocument/2006/relationships" ref="B5" r:id="rId2"/>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2:C2"/>
  <sheetViews>
    <sheetView workbookViewId="0">
      <selection activeCell="A1" sqref="A1"/>
    </sheetView>
  </sheetViews>
  <sheetFormatPr baseColWidth="10" defaultColWidth="14.42578125" defaultRowHeight="15" customHeight="1"/>
  <sheetData>
    <row r="2">
      <c r="A2" s="2" t="inlineStr">
        <is>
          <t>dia</t>
        </is>
      </c>
      <c r="B2" s="2" t="inlineStr">
        <is>
          <t>tarea</t>
        </is>
      </c>
      <c r="C2" s="2" t="inlineStr">
        <is>
          <t>responsable</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10" defaultColWidth="14.42578125" defaultRowHeight="15" customHeight="1"/>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0" summaryRight="0"/>
    <pageSetUpPr/>
  </sheetPr>
  <dimension ref="B1:C17"/>
  <sheetViews>
    <sheetView workbookViewId="0">
      <selection activeCell="A1" sqref="A1"/>
    </sheetView>
  </sheetViews>
  <sheetFormatPr baseColWidth="10" defaultColWidth="14.42578125" defaultRowHeight="15" customHeight="1"/>
  <cols>
    <col width="16.85546875" customWidth="1" style="55" min="2" max="2"/>
  </cols>
  <sheetData>
    <row r="1">
      <c r="B1" s="2" t="inlineStr">
        <is>
          <t>Sidebar</t>
        </is>
      </c>
    </row>
    <row r="3">
      <c r="B3" s="2" t="inlineStr">
        <is>
          <t>Procesos</t>
        </is>
      </c>
      <c r="C3" s="2" t="inlineStr">
        <is>
          <t>Actualizar Precios Muestra el log en tiempo real con los tickers procesados (BIIB, AMAT, INTC), incluyendo un caso de rate limiting de Yahoo Finance con retry automático. Dos barras de progreso independientes porque Backend A y Backend B corren en paralelo. El log muestra exactamente el endpoint que se llama (POST /api/jobs/ratios/precios) y el polling que hace el frontend cada 3 segundos.</t>
        </is>
      </c>
    </row>
    <row r="4">
      <c r="C4" s="2" t="inlineStr">
        <is>
          <t>Actualizar Ratios Fundamentales Dos barras paralelas — una roja para Backend A (Investing.com) y una amarilla para Backend B (SEC EDGAR). El log muestra la diferencia: [A] scrapea PER/EPS desde Investing y [B] calcula FCF y Deuda/EBITDA desde SEC EDGAR. Incluye un caso de timeout con retry exitoso. Duración estimada real: 8–12 minutos para 100 tickers.</t>
        </is>
      </c>
    </row>
    <row r="5">
      <c r="C5" s="2" t="inlineStr">
        <is>
          <t>Ver Screener CEDEARs Muestra el estado de actualización de precios vs ratios (verde vs amarillo), la cantidad de tickers y columnas cargadas, y el botón para abrir directamente el módulo.</t>
        </is>
      </c>
    </row>
    <row r="7">
      <c r="B7" s="2" t="inlineStr">
        <is>
          <t>Analisis Financiero</t>
        </is>
      </c>
      <c r="C7" s="2" t="inlineStr">
        <is>
          <t>Filtros min/max con inputs numéricos</t>
        </is>
      </c>
    </row>
    <row r="8">
      <c r="C8" s="2" t="inlineStr">
        <is>
          <t>PER: de 0 a 50, podés tipear mínimo y máximo independientemente</t>
        </is>
      </c>
    </row>
    <row r="9">
      <c r="C9" s="2" t="inlineStr">
        <is>
          <t>Deuda/EBITDA: de 0 a 10, mismo sistema</t>
        </is>
      </c>
    </row>
    <row r="10">
      <c r="C10" s="2" t="inlineStr">
        <is>
          <t>Precio USD: filtro extra de mínimo y máximo de precio</t>
        </is>
      </c>
    </row>
    <row r="11">
      <c r="C11" s="2" t="inlineStr">
        <is>
          <t>Exchange: se mantienen los pills on/off</t>
        </is>
      </c>
    </row>
    <row r="12">
      <c r="C12" s="2" t="inlineStr">
        <is>
          <t>Paginación hasta 100 tickers</t>
        </is>
      </c>
    </row>
    <row r="13">
      <c r="C13" s="2" t="inlineStr">
        <is>
          <t>Selector de filas por página: 25 / 50 / 100</t>
        </is>
      </c>
    </row>
    <row r="14">
      <c r="C14" s="2" t="inlineStr">
        <is>
          <t>Paginación numérica con botones de página específica + anterior/siguiente</t>
        </is>
      </c>
    </row>
    <row r="15">
      <c r="C15" s="2" t="inlineStr">
        <is>
          <t>La tabla tiene 100 tickers cargados (7 reales de tu seguimiento + 93 generados para simular el volumen real)</t>
        </is>
      </c>
    </row>
    <row r="16">
      <c r="C16" s="2" t="inlineStr">
        <is>
          <t>Todos los ratios visibles en la tabla Ticker · Nombre · Exchange · Precio USD · PER · Máx 52s · Dif.Máx · Mín 52s · Dif.Mín · D/EBITDA · EPS · Crec.EPS · Margen · ROE 5y · FCFonCE · Payout</t>
        </is>
      </c>
    </row>
    <row r="17">
      <c r="C17" s="2" t="inlineStr">
        <is>
          <t>Detalle de ticker — click en cualquier fila, muestra la barra de 52 semanas, los gauge de PER y Deuda/EBITDA, y todos los ratios agrupados.</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10" defaultColWidth="14.42578125" defaultRowHeight="15" customHeight="1"/>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E15"/>
  <sheetViews>
    <sheetView workbookViewId="0">
      <selection activeCell="A1" sqref="A1"/>
    </sheetView>
  </sheetViews>
  <sheetFormatPr baseColWidth="10" defaultColWidth="14.42578125" defaultRowHeight="15" customHeight="1"/>
  <cols>
    <col width="27.7109375" customWidth="1" style="55" min="1" max="1"/>
    <col width="24.5703125" customWidth="1" style="55" min="2" max="2"/>
    <col width="44.85546875" customWidth="1" style="55" min="3" max="3"/>
    <col width="33.7109375" customWidth="1" style="55" min="4" max="4"/>
    <col width="14.140625" customWidth="1" style="55" min="5" max="5"/>
  </cols>
  <sheetData>
    <row r="1">
      <c r="A1" s="56" t="inlineStr">
        <is>
          <t>Ratios — Fuente y Lógica de Obtención</t>
        </is>
      </c>
    </row>
    <row r="2">
      <c r="A2" s="44" t="inlineStr">
        <is>
          <t>Ratio</t>
        </is>
      </c>
      <c r="B2" s="44" t="inlineStr">
        <is>
          <t>Fuente / Plataforma</t>
        </is>
      </c>
      <c r="C2" s="44" t="inlineStr">
        <is>
          <t>Dónde encontrarlo</t>
        </is>
      </c>
      <c r="D2" s="44" t="inlineStr">
        <is>
          <t>Lógica / Fórmula</t>
        </is>
      </c>
      <c r="E2" s="44" t="inlineStr">
        <is>
          <t>Responsable</t>
        </is>
      </c>
    </row>
    <row r="3">
      <c r="A3" s="45" t="inlineStr">
        <is>
          <t>Precio USD</t>
        </is>
      </c>
      <c r="B3" s="45" t="inlineStr">
        <is>
          <t>Yahoo Finance / yfinance</t>
        </is>
      </c>
      <c r="C3" s="46" t="inlineStr">
        <is>
          <t>04_descargar_precios.py</t>
        </is>
      </c>
      <c r="D3" s="45" t="inlineStr">
        <is>
          <t>yf.Ticker(t).fast_info.last_price</t>
        </is>
      </c>
      <c r="E3" s="47" t="inlineStr">
        <is>
          <t>Backend A</t>
        </is>
      </c>
    </row>
    <row r="4">
      <c r="A4" s="45" t="inlineStr">
        <is>
          <t>Precio Máx. 52 sem.</t>
        </is>
      </c>
      <c r="B4" s="45" t="inlineStr">
        <is>
          <t>Yahoo Finance / yfinance</t>
        </is>
      </c>
      <c r="C4" s="46" t="inlineStr">
        <is>
          <t>04_descargar_precios.py</t>
        </is>
      </c>
      <c r="D4" s="45" t="inlineStr">
        <is>
          <t>fast_info.year_high</t>
        </is>
      </c>
      <c r="E4" s="47" t="inlineStr">
        <is>
          <t>Backend A</t>
        </is>
      </c>
    </row>
    <row r="5">
      <c r="A5" s="45" t="inlineStr">
        <is>
          <t>Precio Mín. 52 sem.</t>
        </is>
      </c>
      <c r="B5" s="45" t="inlineStr">
        <is>
          <t>Yahoo Finance / yfinance</t>
        </is>
      </c>
      <c r="C5" s="46" t="inlineStr">
        <is>
          <t>04_descargar_precios.py</t>
        </is>
      </c>
      <c r="D5" s="45" t="inlineStr">
        <is>
          <t>fast_info.year_low</t>
        </is>
      </c>
      <c r="E5" s="47" t="inlineStr">
        <is>
          <t>Backend A</t>
        </is>
      </c>
    </row>
    <row r="6">
      <c r="A6" s="45" t="inlineStr">
        <is>
          <t>Dif. vs Máx. 52 sem.</t>
        </is>
      </c>
      <c r="B6" s="45" t="inlineStr">
        <is>
          <t>Calculado</t>
        </is>
      </c>
      <c r="C6" s="45" t="inlineStr">
        <is>
          <t>Backend A</t>
        </is>
      </c>
      <c r="D6" s="45" t="inlineStr">
        <is>
          <t>(precio / year_high) - 1</t>
        </is>
      </c>
      <c r="E6" s="47" t="inlineStr">
        <is>
          <t>Backend A</t>
        </is>
      </c>
    </row>
    <row r="7">
      <c r="A7" s="45" t="inlineStr">
        <is>
          <t>Dif. vs Mín. 52 sem.</t>
        </is>
      </c>
      <c r="B7" s="45" t="inlineStr">
        <is>
          <t>Calculado</t>
        </is>
      </c>
      <c r="C7" s="45" t="inlineStr">
        <is>
          <t>Backend A</t>
        </is>
      </c>
      <c r="D7" s="45" t="inlineStr">
        <is>
          <t>(precio / year_low) - 1</t>
        </is>
      </c>
      <c r="E7" s="47" t="inlineStr">
        <is>
          <t>Backend A</t>
        </is>
      </c>
    </row>
    <row r="8">
      <c r="A8" s="45" t="inlineStr">
        <is>
          <t>PER</t>
        </is>
      </c>
      <c r="B8" s="46" t="inlineStr">
        <is>
          <t>Investing.com</t>
        </is>
      </c>
      <c r="C8" s="45" t="inlineStr">
        <is>
          <t>Valuación &gt; PER TTM</t>
        </is>
      </c>
      <c r="D8" s="45" t="inlineStr">
        <is>
          <t>Precio / EPS TTM</t>
        </is>
      </c>
      <c r="E8" s="47" t="inlineStr">
        <is>
          <t>Backend A</t>
        </is>
      </c>
    </row>
    <row r="9">
      <c r="A9" s="45" t="inlineStr">
        <is>
          <t>EPS (Anual)</t>
        </is>
      </c>
      <c r="B9" s="46" t="inlineStr">
        <is>
          <t>Investing.com</t>
        </is>
      </c>
      <c r="C9" s="45" t="inlineStr">
        <is>
          <t>Financial &gt; Diluted EPS</t>
        </is>
      </c>
      <c r="D9" s="45" t="inlineStr">
        <is>
          <t>Net Income TTM / Diluted Shares</t>
        </is>
      </c>
      <c r="E9" s="47" t="inlineStr">
        <is>
          <t>Backend A</t>
        </is>
      </c>
    </row>
    <row r="10">
      <c r="A10" s="45" t="inlineStr">
        <is>
          <t>Crecimiento EPS 5 años</t>
        </is>
      </c>
      <c r="B10" s="46" t="inlineStr">
        <is>
          <t>Investing.com</t>
        </is>
      </c>
      <c r="C10" s="45" t="inlineStr">
        <is>
          <t>Financial &gt; 5 Year EPS Growth</t>
        </is>
      </c>
      <c r="D10" s="45" t="inlineStr">
        <is>
          <t>CAGR(eps_fin / eps_ini)^(1/5) - 1</t>
        </is>
      </c>
      <c r="E10" s="47" t="inlineStr">
        <is>
          <t>Backend A</t>
        </is>
      </c>
    </row>
    <row r="11">
      <c r="A11" s="45" t="inlineStr">
        <is>
          <t>Margen Neto</t>
        </is>
      </c>
      <c r="B11" s="46" t="inlineStr">
        <is>
          <t>Investing.com</t>
        </is>
      </c>
      <c r="C11" s="45" t="inlineStr">
        <is>
          <t>Financial &gt; Ratio &gt; Net Profit Margin TTM</t>
        </is>
      </c>
      <c r="D11" s="45" t="inlineStr">
        <is>
          <t>Net Income TTM / Revenue TTM</t>
        </is>
      </c>
      <c r="E11" s="47" t="inlineStr">
        <is>
          <t>Backend B</t>
        </is>
      </c>
    </row>
    <row r="12">
      <c r="A12" s="45" t="inlineStr">
        <is>
          <t>ROE (5 años)</t>
        </is>
      </c>
      <c r="B12" s="46" t="inlineStr">
        <is>
          <t>Investing.com</t>
        </is>
      </c>
      <c r="C12" s="45" t="inlineStr">
        <is>
          <t>Financial &gt; Ratio &gt; Return on Equity 5YA</t>
        </is>
      </c>
      <c r="D12" s="45" t="inlineStr">
        <is>
          <t>CAGR retorno sobre equity 5 años</t>
        </is>
      </c>
      <c r="E12" s="47" t="inlineStr">
        <is>
          <t>Backend B</t>
        </is>
      </c>
    </row>
    <row r="13">
      <c r="A13" s="48" t="inlineStr">
        <is>
          <t>FCFonCE</t>
        </is>
      </c>
      <c r="B13" s="48" t="inlineStr">
        <is>
          <t>TIKR</t>
        </is>
      </c>
      <c r="C13" s="48" t="inlineStr">
        <is>
          <t>Flujo de Caja TTM / (Total Activo - Pasivo Cte.)</t>
        </is>
      </c>
      <c r="D13" s="48" t="inlineStr">
        <is>
          <t>FCF TTM / Capital Empleado</t>
        </is>
      </c>
      <c r="E13" s="49" t="inlineStr">
        <is>
          <t>Backend B</t>
        </is>
      </c>
    </row>
    <row r="14">
      <c r="A14" s="45" t="inlineStr">
        <is>
          <t>Payout</t>
        </is>
      </c>
      <c r="B14" s="46" t="inlineStr">
        <is>
          <t>Investing.com</t>
        </is>
      </c>
      <c r="C14" s="45" t="inlineStr">
        <is>
          <t>Financial &gt; Ratio &gt; Payout Ratio TTM</t>
        </is>
      </c>
      <c r="D14" s="45" t="inlineStr">
        <is>
          <t>Dividendos TTM / Net Income TTM</t>
        </is>
      </c>
      <c r="E14" s="47" t="inlineStr">
        <is>
          <t>Backend B</t>
        </is>
      </c>
    </row>
    <row r="15">
      <c r="A15" s="50" t="inlineStr">
        <is>
          <t>Deuda/EBITDA</t>
        </is>
      </c>
      <c r="B15" s="50" t="inlineStr">
        <is>
          <t>TIKR</t>
        </is>
      </c>
      <c r="C15" s="50" t="inlineStr">
        <is>
          <t>Finanzas &gt; Ratio &gt; Debt/EBITDA</t>
        </is>
      </c>
      <c r="D15" s="50" t="inlineStr">
        <is>
          <t>Total Debt / EBITDA TTM</t>
        </is>
      </c>
      <c r="E15" s="51" t="inlineStr">
        <is>
          <t>Backend B</t>
        </is>
      </c>
    </row>
  </sheetData>
  <mergeCells count="1">
    <mergeCell ref="A1:E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4" r:id="rId9"/>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B1:D8"/>
  <sheetViews>
    <sheetView workbookViewId="0">
      <selection activeCell="A1" sqref="A1"/>
    </sheetView>
  </sheetViews>
  <sheetFormatPr baseColWidth="10" defaultColWidth="14.42578125" defaultRowHeight="15" customHeight="1"/>
  <cols>
    <col width="21.7109375" customWidth="1" style="55" min="2" max="2"/>
  </cols>
  <sheetData>
    <row r="1">
      <c r="B1" s="2" t="inlineStr">
        <is>
          <t>Tema</t>
        </is>
      </c>
      <c r="C1" s="2" t="inlineStr">
        <is>
          <t>Subtema</t>
        </is>
      </c>
      <c r="D1" s="2" t="inlineStr">
        <is>
          <t>Descripcion</t>
        </is>
      </c>
    </row>
    <row r="2">
      <c r="B2" s="2" t="inlineStr">
        <is>
          <t>Modulo</t>
        </is>
      </c>
      <c r="C2" s="2" t="n"/>
      <c r="D2" s="2" t="inlineStr">
        <is>
          <t>Se puede hacer un frontend y un backend</t>
        </is>
      </c>
    </row>
    <row r="3">
      <c r="B3" s="2" t="inlineStr">
        <is>
          <t>Frontend General</t>
        </is>
      </c>
      <c r="C3" s="2" t="n"/>
      <c r="D3" s="2" t="inlineStr">
        <is>
          <t>El frontend seria un modulo dentro del backoffice de catalaxia</t>
        </is>
      </c>
    </row>
    <row r="4">
      <c r="B4" s="2" t="inlineStr">
        <is>
          <t>Backoffice Hardcodeado</t>
        </is>
      </c>
      <c r="C4" s="2" t="n"/>
      <c r="D4" s="2" t="inlineStr">
        <is>
          <t>se puede hardcodear con las capturas de pantalla hacer un simili de su backoffice y recrear un modulo llamado analisis financiero</t>
        </is>
      </c>
    </row>
    <row r="5">
      <c r="B5" s="2" t="inlineStr">
        <is>
          <t>Backend</t>
        </is>
      </c>
      <c r="C5" s="2" t="inlineStr">
        <is>
          <t>Scraping</t>
        </is>
      </c>
      <c r="D5" s="2" t="inlineStr">
        <is>
          <t>Scraping de las paginas de Tikt, usando Playwright, para cada una de las plataformas</t>
        </is>
      </c>
    </row>
    <row r="6">
      <c r="B6" s="2" t="inlineStr">
        <is>
          <t>Backend</t>
        </is>
      </c>
      <c r="C6" s="2" t="inlineStr">
        <is>
          <t>Cron Precios</t>
        </is>
      </c>
      <c r="D6" s="2" t="inlineStr">
        <is>
          <t>Para los datos de precios podemos un Jobs (cron) y bajar los precios actualizados (ojo con el rate limited)</t>
        </is>
      </c>
    </row>
    <row r="7">
      <c r="B7" s="2" t="inlineStr">
        <is>
          <t>Backend</t>
        </is>
      </c>
      <c r="C7" s="2" t="inlineStr">
        <is>
          <t>Jobs manual Ratios (valores de la valuaciones y ratios)</t>
        </is>
      </c>
      <c r="D7" s="2" t="inlineStr">
        <is>
          <t>Hacer un boton o inicio para que semnaalmente se actualicen los valores (scraping) para actualizar los ratios</t>
        </is>
      </c>
    </row>
    <row r="8">
      <c r="B8" s="2" t="inlineStr">
        <is>
          <t>Video</t>
        </is>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G12"/>
  <sheetViews>
    <sheetView workbookViewId="0">
      <selection activeCell="A1" sqref="A1"/>
    </sheetView>
  </sheetViews>
  <sheetFormatPr baseColWidth="10" defaultColWidth="14.42578125" defaultRowHeight="15" customHeight="1"/>
  <cols>
    <col width="2.42578125" customWidth="1" style="55" min="1" max="1"/>
    <col width="30.28515625" customWidth="1" style="55" min="2" max="2"/>
    <col width="37.42578125" customWidth="1" style="55" min="3" max="3"/>
    <col width="33.42578125" customWidth="1" style="55" min="4" max="4"/>
    <col width="36.140625" customWidth="1" style="55" min="6" max="6"/>
  </cols>
  <sheetData>
    <row r="1" ht="15" customHeight="1" s="55">
      <c r="A1" s="52" t="inlineStr">
        <is>
          <t>#</t>
        </is>
      </c>
      <c r="B1" s="52" t="inlineStr">
        <is>
          <t>Rol</t>
        </is>
      </c>
      <c r="C1" s="52" t="inlineStr">
        <is>
          <t>Stack</t>
        </is>
      </c>
      <c r="D1" s="52" t="inlineStr">
        <is>
          <t>Entregable principal</t>
        </is>
      </c>
      <c r="E1" s="2" t="inlineStr">
        <is>
          <t>COlab</t>
        </is>
      </c>
      <c r="F1" s="2" t="inlineStr">
        <is>
          <t>Entregables</t>
        </is>
      </c>
    </row>
    <row r="2" ht="15" customHeight="1" s="55">
      <c r="A2" s="53" t="n">
        <v>1</v>
      </c>
      <c r="B2" s="53" t="inlineStr">
        <is>
          <t>Frontend — Tabla screener</t>
        </is>
      </c>
      <c r="C2" s="53" t="inlineStr">
        <is>
          <t>Next.js + Tailwind</t>
        </is>
      </c>
      <c r="D2" s="53" t="inlineStr">
        <is>
          <t>Tabla con filtros y sorting</t>
        </is>
      </c>
      <c r="E2" s="2" t="inlineStr">
        <is>
          <t>Aldnaa</t>
        </is>
      </c>
      <c r="F2" s="2" t="inlineStr">
        <is>
          <t>Maqueta del dashboard</t>
        </is>
      </c>
      <c r="G2" s="2" t="inlineStr">
        <is>
          <t>boton de cron y descargar</t>
        </is>
      </c>
    </row>
    <row r="3" ht="15" customHeight="1" s="55">
      <c r="A3" s="53" t="n">
        <v>2</v>
      </c>
      <c r="B3" s="53" t="inlineStr">
        <is>
          <t>Frontend — Detalle + jobs</t>
        </is>
      </c>
      <c r="C3" s="53" t="inlineStr">
        <is>
          <t>Next.js + React</t>
        </is>
      </c>
      <c r="D3" s="53" t="inlineStr">
        <is>
          <t>Vista ticker + trigger manual</t>
        </is>
      </c>
      <c r="E3" s="2" t="inlineStr">
        <is>
          <t>Joaquin</t>
        </is>
      </c>
      <c r="F3" s="2" t="inlineStr">
        <is>
          <t>Maqueta del dashboard</t>
        </is>
      </c>
      <c r="G3" s="2" t="inlineStr">
        <is>
          <t>boton de cron y descargar</t>
        </is>
      </c>
    </row>
    <row r="4" ht="15" customHeight="1" s="55">
      <c r="A4" s="53" t="n">
        <v>3</v>
      </c>
      <c r="B4" s="53" t="inlineStr">
        <is>
          <t>Backend — Precios</t>
        </is>
      </c>
      <c r="C4" s="53" t="inlineStr">
        <is>
          <t>Python + yfinance + FastAPI</t>
        </is>
      </c>
      <c r="D4" s="53" t="inlineStr">
        <is>
          <t>Cron diario + endpoint precio</t>
        </is>
      </c>
      <c r="E4" s="2" t="inlineStr">
        <is>
          <t>Valentino</t>
        </is>
      </c>
      <c r="F4" s="2" t="inlineStr">
        <is>
          <t>Scraping del los ratios de TIKR y algnos de investing</t>
        </is>
      </c>
    </row>
    <row r="5" ht="15" customHeight="1" s="55">
      <c r="A5" s="53" t="n">
        <v>4</v>
      </c>
      <c r="B5" s="53" t="inlineStr">
        <is>
          <t>Backend — Ratios</t>
        </is>
      </c>
      <c r="C5" s="53" t="inlineStr">
        <is>
          <t>Python +  Playwright</t>
        </is>
      </c>
      <c r="D5" s="53" t="inlineStr">
        <is>
          <t>Job semanal + endpoint ratios</t>
        </is>
      </c>
      <c r="E5" s="2" t="inlineStr">
        <is>
          <t>Mateo</t>
        </is>
      </c>
      <c r="F5" s="2" t="inlineStr">
        <is>
          <t>Scraping de los ratins investing de investing</t>
        </is>
      </c>
      <c r="G5" s="2" t="inlineStr">
        <is>
          <t xml:space="preserve">Playwright como </t>
        </is>
      </c>
    </row>
    <row r="12" ht="15" customHeight="1" s="55">
      <c r="D12" s="53"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10" defaultColWidth="14.42578125" defaultRowHeight="15" customHeight="1"/>
  <cols>
    <col width="8.7109375" customWidth="1" style="55" min="1" max="26"/>
  </cols>
  <sheetData>
    <row r="1">
      <c r="A1" s="1" t="inlineStr">
        <is>
          <t>Paso</t>
        </is>
      </c>
      <c r="B1" s="1" t="inlineStr">
        <is>
          <t>Archivo</t>
        </is>
      </c>
      <c r="C1" s="1" t="inlineStr">
        <is>
          <t>Objetivo</t>
        </is>
      </c>
    </row>
    <row r="2">
      <c r="A2" s="2" t="n">
        <v>2</v>
      </c>
      <c r="B2" s="2" t="inlineStr">
        <is>
          <t>02_mapear_cedears_sec.py</t>
        </is>
      </c>
      <c r="C2" s="2" t="inlineStr">
        <is>
          <t>Mapear tickers BYMA -&gt; CIK SEC</t>
        </is>
      </c>
    </row>
    <row r="3">
      <c r="A3" s="2" t="n">
        <v>3</v>
      </c>
      <c r="B3" s="2" t="inlineStr">
        <is>
          <t>03_descargar_financials_sec.py</t>
        </is>
      </c>
      <c r="C3" s="2" t="inlineStr">
        <is>
          <t>Descargar fundamentals SEC EDGAR</t>
        </is>
      </c>
    </row>
    <row r="4">
      <c r="A4" s="2" t="n">
        <v>4</v>
      </c>
      <c r="B4" s="2" t="inlineStr">
        <is>
          <t>04_descargar_precios.py</t>
        </is>
      </c>
      <c r="C4" s="2" t="inlineStr">
        <is>
          <t>Descargar precios actuales y market data</t>
        </is>
      </c>
    </row>
    <row r="5">
      <c r="A5" s="2" t="n">
        <v>5</v>
      </c>
      <c r="B5" s="2" t="inlineStr">
        <is>
          <t>05_calcular_ratios.py</t>
        </is>
      </c>
      <c r="C5" s="2" t="inlineStr">
        <is>
          <t>Calcular ratios fundamentales</t>
        </is>
      </c>
    </row>
    <row r="6">
      <c r="A6" s="2" t="n">
        <v>6</v>
      </c>
      <c r="B6" s="2" t="inlineStr">
        <is>
          <t>06_descargar_precios_historicos.py</t>
        </is>
      </c>
      <c r="C6" s="2" t="inlineStr">
        <is>
          <t>Descargar OHLCV históricos</t>
        </is>
      </c>
    </row>
    <row r="7">
      <c r="A7" s="2" t="n">
        <v>7</v>
      </c>
      <c r="B7" s="2" t="inlineStr">
        <is>
          <t>07_descargar_byma_locales.py</t>
        </is>
      </c>
      <c r="C7" s="2" t="inlineStr">
        <is>
          <t>Descargar acciones locales BYMA</t>
        </is>
      </c>
    </row>
    <row r="8">
      <c r="A8" s="2" t="n">
        <v>8</v>
      </c>
      <c r="B8" s="2" t="inlineStr">
        <is>
          <t>08_generar_dataset_etl.py</t>
        </is>
      </c>
      <c r="C8" s="2" t="inlineStr">
        <is>
          <t>Exportar dataset ETL Postgres</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10" defaultColWidth="14.42578125" defaultRowHeight="15" customHeight="1"/>
  <cols>
    <col width="8.7109375" customWidth="1" style="55" min="1" max="26"/>
  </cols>
  <sheetData>
    <row r="1">
      <c r="A1" s="1" t="inlineStr">
        <is>
          <t>Especie</t>
        </is>
      </c>
      <c r="B1" s="1" t="inlineStr">
        <is>
          <t>Dónde se encuentra listada</t>
        </is>
      </c>
      <c r="C1" s="1" t="inlineStr">
        <is>
          <t>Precio en u$s</t>
        </is>
      </c>
      <c r="D1" s="1" t="inlineStr">
        <is>
          <t>PER</t>
        </is>
      </c>
      <c r="E1" s="1" t="inlineStr">
        <is>
          <t>Precio Máximo 52 semanas</t>
        </is>
      </c>
      <c r="F1" s="1" t="inlineStr">
        <is>
          <t>Dif. contra Máx 52 sem</t>
        </is>
      </c>
      <c r="G1" s="1" t="inlineStr">
        <is>
          <t>Precio Mínimo 52 semanas</t>
        </is>
      </c>
      <c r="H1" s="1" t="inlineStr">
        <is>
          <t>Dif. contra Mín. 52 sem</t>
        </is>
      </c>
      <c r="I1" s="1" t="inlineStr">
        <is>
          <t>Deuda/EBITDA</t>
        </is>
      </c>
      <c r="J1" s="1" t="inlineStr">
        <is>
          <t>EPS (Anual)</t>
        </is>
      </c>
      <c r="K1" s="1" t="inlineStr">
        <is>
          <t>Crecimiento EPS ultimos 5 años</t>
        </is>
      </c>
      <c r="L1" s="1" t="inlineStr">
        <is>
          <t>Margen Neto</t>
        </is>
      </c>
      <c r="M1" s="1" t="inlineStr">
        <is>
          <t>ROE (5 años)</t>
        </is>
      </c>
      <c r="N1" s="1" t="inlineStr">
        <is>
          <t>FCFonCE</t>
        </is>
      </c>
      <c r="O1" s="1" t="inlineStr">
        <is>
          <t>Payout</t>
        </is>
      </c>
    </row>
    <row r="2">
      <c r="A2" s="2" t="inlineStr">
        <is>
          <t>BIIB</t>
        </is>
      </c>
      <c r="B2" s="2" t="inlineStr">
        <is>
          <t>NASDAQ</t>
        </is>
      </c>
      <c r="C2" s="2" t="inlineStr">
        <is>
          <t>u$s 252,07</t>
        </is>
      </c>
      <c r="D2" s="2" t="n">
        <v>8.34</v>
      </c>
      <c r="E2" s="2" t="inlineStr">
        <is>
          <t>u$s 374,99</t>
        </is>
      </c>
      <c r="F2" s="2" t="n">
        <v>-0.3278</v>
      </c>
      <c r="G2" s="2" t="inlineStr">
        <is>
          <t>u$s 243,25</t>
        </is>
      </c>
      <c r="H2" s="2" t="n">
        <v>0.0363</v>
      </c>
      <c r="I2" s="2" t="n">
        <v>1.289335088874259</v>
      </c>
      <c r="J2" s="2" t="n">
        <v>30.21</v>
      </c>
      <c r="K2" s="2" t="n">
        <v>0.2029</v>
      </c>
      <c r="L2" s="2" t="n">
        <v>0.3468</v>
      </c>
      <c r="M2" s="2" t="n">
        <v>0.2253</v>
      </c>
      <c r="N2" s="2" t="n">
        <v>0.2864938199861425</v>
      </c>
      <c r="O2" s="2" t="n">
        <v>0</v>
      </c>
    </row>
    <row r="3">
      <c r="A3" s="2" t="inlineStr">
        <is>
          <t>AMAT</t>
        </is>
      </c>
      <c r="B3" s="2" t="inlineStr">
        <is>
          <t>NASDAQ</t>
        </is>
      </c>
      <c r="C3" s="2" t="inlineStr">
        <is>
          <t>u$s 59,23</t>
        </is>
      </c>
      <c r="D3" s="2" t="n">
        <v>17.2</v>
      </c>
      <c r="E3" s="2" t="inlineStr">
        <is>
          <t>u$s 69,90</t>
        </is>
      </c>
      <c r="F3" s="2" t="n">
        <v>-0.1526</v>
      </c>
      <c r="G3" s="2" t="inlineStr">
        <is>
          <t>u$s 36,64</t>
        </is>
      </c>
      <c r="H3" s="2" t="n">
        <v>0.6165</v>
      </c>
      <c r="I3" s="2" t="n">
        <v>1.16000845487212</v>
      </c>
      <c r="J3" s="2" t="n">
        <v>3.44</v>
      </c>
      <c r="K3" s="2" t="n">
        <v>0.2665</v>
      </c>
      <c r="L3" s="2" t="n">
        <v>0.1958</v>
      </c>
      <c r="M3" s="2" t="n">
        <v>0.2104</v>
      </c>
      <c r="N3" s="2" t="n">
        <v>0.1924950264114701</v>
      </c>
      <c r="O3" s="2" t="n">
        <v>0.2473</v>
      </c>
    </row>
    <row r="4">
      <c r="A4" s="2" t="inlineStr">
        <is>
          <t>INTC</t>
        </is>
      </c>
      <c r="B4" s="2" t="inlineStr">
        <is>
          <t>NASDAQ</t>
        </is>
      </c>
      <c r="C4" s="2" t="inlineStr">
        <is>
          <t>u$s 44,28</t>
        </is>
      </c>
      <c r="D4" s="2" t="n">
        <v>8.68</v>
      </c>
      <c r="E4" s="2" t="inlineStr">
        <is>
          <t>u$s 69,29</t>
        </is>
      </c>
      <c r="F4" s="2" t="n">
        <v>-0.3609</v>
      </c>
      <c r="G4" s="2" t="inlineStr">
        <is>
          <t>u$s 43,61</t>
        </is>
      </c>
      <c r="H4" s="2" t="n">
        <v>0.0154</v>
      </c>
      <c r="I4" s="2" t="n">
        <v>0.9869621551584516</v>
      </c>
      <c r="J4" s="2" t="n">
        <v>5.01</v>
      </c>
      <c r="K4" s="2" t="n">
        <v>0.1524</v>
      </c>
      <c r="L4" s="2" t="n">
        <v>0.2452</v>
      </c>
      <c r="M4" s="2" t="n">
        <v>0.1599</v>
      </c>
      <c r="N4" s="2" t="n">
        <v>0.1482480256360866</v>
      </c>
      <c r="O4" s="2" t="n">
        <v>0.254</v>
      </c>
    </row>
    <row r="5">
      <c r="A5" s="2" t="inlineStr">
        <is>
          <t>GRMN</t>
        </is>
      </c>
      <c r="B5" s="2" t="inlineStr">
        <is>
          <t>NASDAQ</t>
        </is>
      </c>
      <c r="C5" s="2" t="inlineStr">
        <is>
          <t>u$s 104,02</t>
        </is>
      </c>
      <c r="D5" s="2" t="n">
        <v>19.55</v>
      </c>
      <c r="E5" s="2" t="inlineStr">
        <is>
          <t>u$s 106,00</t>
        </is>
      </c>
      <c r="F5" s="2" t="n">
        <v>-0.0187</v>
      </c>
      <c r="G5" s="2" t="inlineStr">
        <is>
          <t>u$s 61,04</t>
        </is>
      </c>
      <c r="H5" s="2" t="n">
        <v>0.7040999999999999</v>
      </c>
      <c r="I5" s="2" t="n">
        <v>0.5622575492507796</v>
      </c>
      <c r="J5" s="2" t="n">
        <v>5.32</v>
      </c>
      <c r="K5" s="2" t="n">
        <v>0.2161</v>
      </c>
      <c r="L5" s="2" t="n">
        <v>0.2069</v>
      </c>
      <c r="M5" s="2" t="n">
        <v>0.1633</v>
      </c>
      <c r="N5" s="2" t="n">
        <v>0.1126787464893868</v>
      </c>
      <c r="O5" s="2" t="n">
        <v>0.4583</v>
      </c>
    </row>
    <row r="6">
      <c r="A6" s="2" t="inlineStr">
        <is>
          <t>INFY</t>
        </is>
      </c>
      <c r="B6" s="2" t="inlineStr">
        <is>
          <t>NYSE</t>
        </is>
      </c>
      <c r="C6" s="2" t="inlineStr">
        <is>
          <t>u$s 14,27</t>
        </is>
      </c>
      <c r="D6" s="2" t="n">
        <v>25.24</v>
      </c>
      <c r="E6" s="2" t="inlineStr">
        <is>
          <t>u$s 16,62</t>
        </is>
      </c>
      <c r="F6" s="2" t="n">
        <v>-0.1414</v>
      </c>
      <c r="G6" s="2" t="inlineStr">
        <is>
          <t>u$s 6,76</t>
        </is>
      </c>
      <c r="H6" s="2" t="n">
        <v>1.1109</v>
      </c>
      <c r="I6" s="2" t="n">
        <v>0.1867510227936879</v>
      </c>
      <c r="J6" s="2" t="n">
        <v>0.57</v>
      </c>
      <c r="K6" s="2" t="n">
        <v>0.0765</v>
      </c>
      <c r="L6" s="2" t="n">
        <v>0.2025</v>
      </c>
      <c r="M6" s="2" t="n">
        <v>0.2326</v>
      </c>
      <c r="N6" s="2" t="n">
        <v>0.2120647458004227</v>
      </c>
      <c r="O6" s="2" t="n">
        <v>0.5108</v>
      </c>
    </row>
    <row r="7">
      <c r="A7" s="2" t="inlineStr">
        <is>
          <t>HD</t>
        </is>
      </c>
      <c r="B7" s="2" t="inlineStr">
        <is>
          <t>NYSE</t>
        </is>
      </c>
      <c r="C7" s="2" t="inlineStr">
        <is>
          <t>u$s 266,71</t>
        </is>
      </c>
      <c r="D7" s="2" t="n">
        <v>24.43</v>
      </c>
      <c r="E7" s="2" t="inlineStr">
        <is>
          <t>u$s 292,95</t>
        </is>
      </c>
      <c r="F7" s="2" t="n">
        <v>-0.0896</v>
      </c>
      <c r="G7" s="2" t="inlineStr">
        <is>
          <t>u$s 140,63</t>
        </is>
      </c>
      <c r="H7" s="2" t="n">
        <v>0.8965</v>
      </c>
      <c r="I7" s="2" t="n">
        <v>2.058065486636915</v>
      </c>
      <c r="J7" s="2" t="n">
        <v>11.57</v>
      </c>
      <c r="K7" s="2" t="n">
        <v>0.168</v>
      </c>
      <c r="L7" s="2" t="n">
        <v>0.0916</v>
      </c>
      <c r="M7" s="2" t="n">
        <v>0.318</v>
      </c>
      <c r="N7" s="2" t="n">
        <v>0.3361127172027631</v>
      </c>
      <c r="O7" s="2" t="n">
        <v>0.3766</v>
      </c>
    </row>
    <row r="8">
      <c r="A8" s="2" t="inlineStr">
        <is>
          <t>EBAY</t>
        </is>
      </c>
      <c r="B8" s="2" t="inlineStr">
        <is>
          <t>NASDAQ</t>
        </is>
      </c>
      <c r="C8" s="2" t="inlineStr">
        <is>
          <t>u$s 47,63</t>
        </is>
      </c>
      <c r="D8" s="2" t="n">
        <v>6.64</v>
      </c>
      <c r="E8" s="2" t="inlineStr">
        <is>
          <t>u$s 61,06</t>
        </is>
      </c>
      <c r="F8" s="2" t="n">
        <v>-0.2199</v>
      </c>
      <c r="G8" s="2" t="inlineStr">
        <is>
          <t>u$s 26,02</t>
        </is>
      </c>
      <c r="H8" s="2" t="n">
        <v>0.8305</v>
      </c>
      <c r="I8" s="2" t="n">
        <v>1.325236966824645</v>
      </c>
      <c r="J8" s="2" t="n">
        <v>3.15</v>
      </c>
      <c r="K8" s="2" t="n">
        <v>-0.24</v>
      </c>
      <c r="L8" s="2" t="n">
        <v>0.3</v>
      </c>
      <c r="M8" s="2" t="n">
        <v>0.1566</v>
      </c>
      <c r="N8" s="2" t="n">
        <v>0.1814573291749362</v>
      </c>
      <c r="O8" s="2" t="n">
        <v>0.205</v>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10" defaultColWidth="14.42578125" defaultRowHeight="15" customHeight="1"/>
  <cols>
    <col width="8.7109375" customWidth="1" style="55" min="1" max="26"/>
  </cols>
  <sheetData>
    <row r="1">
      <c r="A1" s="1" t="inlineStr">
        <is>
          <t>Componente</t>
        </is>
      </c>
      <c r="B1" s="1" t="inlineStr">
        <is>
          <t>Tecnología sugerida</t>
        </is>
      </c>
      <c r="C1" s="1" t="inlineStr">
        <is>
          <t>Descripción</t>
        </is>
      </c>
    </row>
    <row r="2">
      <c r="A2" s="2" t="inlineStr">
        <is>
          <t>Scheduler</t>
        </is>
      </c>
      <c r="B2" s="2" t="inlineStr">
        <is>
          <t>Apache Airflow / Cron</t>
        </is>
      </c>
      <c r="C2" s="2" t="inlineStr">
        <is>
          <t>Actualización diaria automática</t>
        </is>
      </c>
    </row>
    <row r="3">
      <c r="A3" s="2" t="inlineStr">
        <is>
          <t>Extracción SEC</t>
        </is>
      </c>
      <c r="B3" s="2" t="inlineStr">
        <is>
          <t>Python + requests</t>
        </is>
      </c>
      <c r="C3" s="2" t="inlineStr">
        <is>
          <t>Descarga XBRL companyfacts</t>
        </is>
      </c>
    </row>
    <row r="4">
      <c r="A4" s="2" t="inlineStr">
        <is>
          <t>Precios</t>
        </is>
      </c>
      <c r="B4" s="2" t="inlineStr">
        <is>
          <t>yfinance</t>
        </is>
      </c>
      <c r="C4" s="2" t="inlineStr">
        <is>
          <t>Mercado y precios históricos</t>
        </is>
      </c>
    </row>
    <row r="5">
      <c r="A5" s="2" t="inlineStr">
        <is>
          <t>Base de Datos</t>
        </is>
      </c>
      <c r="B5" s="2" t="inlineStr">
        <is>
          <t>PostgreSQL</t>
        </is>
      </c>
      <c r="C5" s="2" t="inlineStr">
        <is>
          <t>Persistencia centralizada</t>
        </is>
      </c>
    </row>
    <row r="6">
      <c r="A6" s="2" t="inlineStr">
        <is>
          <t>API</t>
        </is>
      </c>
      <c r="B6" s="2" t="inlineStr">
        <is>
          <t>FastAPI</t>
        </is>
      </c>
      <c r="C6" s="2" t="inlineStr">
        <is>
          <t>Exponer ratios y screening</t>
        </is>
      </c>
    </row>
    <row r="7">
      <c r="A7" s="2" t="inlineStr">
        <is>
          <t>Frontend</t>
        </is>
      </c>
      <c r="B7" s="2" t="inlineStr">
        <is>
          <t>Next.js / React</t>
        </is>
      </c>
      <c r="C7" s="2" t="inlineStr">
        <is>
          <t>Dashboard cliente</t>
        </is>
      </c>
    </row>
    <row r="8">
      <c r="A8" s="2" t="inlineStr">
        <is>
          <t>Alertas</t>
        </is>
      </c>
      <c r="B8" s="2" t="inlineStr">
        <is>
          <t>Telegram / Email</t>
        </is>
      </c>
      <c r="C8" s="2" t="inlineStr">
        <is>
          <t>Cambios de ratios y valuaciones</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14.42578125" defaultRowHeight="15" customHeight="1"/>
  <cols>
    <col width="8.7109375" customWidth="1" style="55" min="1" max="26"/>
  </cols>
  <sheetData>
    <row r="1">
      <c r="A1" s="1" t="inlineStr">
        <is>
          <t>Objetivo</t>
        </is>
      </c>
      <c r="B1" s="1" t="inlineStr">
        <is>
          <t>Código resumido</t>
        </is>
      </c>
    </row>
    <row r="2">
      <c r="A2" s="2" t="inlineStr">
        <is>
          <t>Descargar precios</t>
        </is>
      </c>
      <c r="B2" s="2" t="inlineStr">
        <is>
          <t>fi = yf.Ticker(ticker).fast_info</t>
        </is>
      </c>
    </row>
    <row r="3">
      <c r="A3" s="2" t="inlineStr">
        <is>
          <t>PER</t>
        </is>
      </c>
      <c r="B3" s="2" t="inlineStr">
        <is>
          <t>per = precio / eps_ttm</t>
        </is>
      </c>
    </row>
    <row r="4">
      <c r="A4" s="2" t="inlineStr">
        <is>
          <t>EPS</t>
        </is>
      </c>
      <c r="B4" s="2" t="inlineStr">
        <is>
          <t>eps = net_income / diluted_shares</t>
        </is>
      </c>
    </row>
    <row r="5">
      <c r="A5" s="2" t="inlineStr">
        <is>
          <t>FCF</t>
        </is>
      </c>
      <c r="B5" s="2" t="inlineStr">
        <is>
          <t>fcf = cfo - capex</t>
        </is>
      </c>
    </row>
    <row r="6">
      <c r="A6" s="2" t="inlineStr">
        <is>
          <t>Dif 52w</t>
        </is>
      </c>
      <c r="B6" s="2" t="inlineStr">
        <is>
          <t>dif = (precio/max52)-1</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8" customWidth="1" style="55" min="1" max="1"/>
    <col width="18" customWidth="1" style="55" min="2" max="2"/>
    <col width="18" customWidth="1" style="55" min="3" max="3"/>
    <col width="18" customWidth="1" style="55" min="4" max="4"/>
    <col width="18" customWidth="1" style="55" min="5" max="5"/>
    <col width="18" customWidth="1" style="55" min="6" max="6"/>
    <col width="45" customWidth="1" style="55" min="7" max="7"/>
    <col width="18" customWidth="1" style="55" min="8" max="8"/>
    <col width="18" customWidth="1" style="55" min="9" max="9"/>
    <col width="18" customWidth="1" style="55" min="10" max="10"/>
    <col width="60" customWidth="1" style="55" min="11" max="11"/>
    <col width="18" customWidth="1" style="55" min="12" max="12"/>
    <col width="18" customWidth="1" style="55" min="13" max="13"/>
  </cols>
  <sheetData>
    <row r="1">
      <c r="A1" t="inlineStr">
        <is>
          <t>RESUMEN ESTADISTICO -- divergencia % (EDGAR-Investing)/Investing*100, recalculada desde cero</t>
        </is>
      </c>
    </row>
    <row r="2">
      <c r="A2" t="inlineStr">
        <is>
          <t>Metrica</t>
        </is>
      </c>
      <c r="B2" t="inlineStr">
        <is>
          <t>n</t>
        </is>
      </c>
      <c r="C2" t="inlineStr">
        <is>
          <t>Media (con signo)</t>
        </is>
      </c>
      <c r="D2" t="inlineStr">
        <is>
          <t>Desv.Std</t>
        </is>
      </c>
      <c r="E2" t="inlineStr">
        <is>
          <t>Min |dif|</t>
        </is>
      </c>
      <c r="F2" t="inlineStr">
        <is>
          <t>P50 |dif|</t>
        </is>
      </c>
      <c r="G2" t="inlineStr">
        <is>
          <t>P90 |dif|</t>
        </is>
      </c>
      <c r="H2" t="inlineStr">
        <is>
          <t>P95 |dif|</t>
        </is>
      </c>
      <c r="I2" t="inlineStr">
        <is>
          <t>P99 |dif|</t>
        </is>
      </c>
      <c r="J2" t="inlineStr">
        <is>
          <t>Max |dif|</t>
        </is>
      </c>
      <c r="K2" t="inlineStr">
        <is>
          <t>% &lt;=5%</t>
        </is>
      </c>
      <c r="L2" t="inlineStr">
        <is>
          <t>% &lt;=10%</t>
        </is>
      </c>
      <c r="M2" t="inlineStr">
        <is>
          <t>% &lt;=20%</t>
        </is>
      </c>
    </row>
    <row r="3">
      <c r="A3" t="inlineStr">
        <is>
          <t>PER</t>
        </is>
      </c>
      <c r="B3" t="n">
        <v>43</v>
      </c>
      <c r="C3" t="n">
        <v>-1.600880573262392</v>
      </c>
      <c r="D3" t="n">
        <v>5.034387937846057</v>
      </c>
      <c r="E3" t="n">
        <v>0.04077237866300779</v>
      </c>
      <c r="F3" t="n">
        <v>1.270354104965233</v>
      </c>
      <c r="G3" t="n">
        <v>5.572693032684208</v>
      </c>
      <c r="H3" t="n">
        <v>9.774441876665426</v>
      </c>
      <c r="I3" t="n">
        <v>20.13200735910933</v>
      </c>
      <c r="J3" t="n">
        <v>20.72422812690063</v>
      </c>
      <c r="K3" t="n">
        <v>86.04651162790698</v>
      </c>
      <c r="L3" t="n">
        <v>95.34883720930233</v>
      </c>
      <c r="M3" t="n">
        <v>97.67441860465115</v>
      </c>
    </row>
    <row r="4">
      <c r="A4" t="inlineStr">
        <is>
          <t>EPS</t>
        </is>
      </c>
      <c r="B4" t="n">
        <v>45</v>
      </c>
      <c r="C4" t="n">
        <v>-4.138806220224263</v>
      </c>
      <c r="D4" t="n">
        <v>19.5681337668648</v>
      </c>
      <c r="E4" t="n">
        <v>0</v>
      </c>
      <c r="F4" t="n">
        <v>0</v>
      </c>
      <c r="G4" t="n">
        <v>18.49339747695877</v>
      </c>
      <c r="H4" t="n">
        <v>27.16345703411861</v>
      </c>
      <c r="I4" t="n">
        <v>86.84059582428833</v>
      </c>
      <c r="J4" t="n">
        <v>91.08734402852049</v>
      </c>
      <c r="K4" t="n">
        <v>80</v>
      </c>
      <c r="L4" t="n">
        <v>82.22222222222221</v>
      </c>
      <c r="M4" t="n">
        <v>91.11111111111111</v>
      </c>
    </row>
    <row r="5">
      <c r="A5" t="inlineStr">
        <is>
          <t>CrecEPS</t>
        </is>
      </c>
      <c r="B5" t="n">
        <v>40</v>
      </c>
      <c r="C5" t="n">
        <v>-10.06001195208103</v>
      </c>
      <c r="D5" t="n">
        <v>99.50570033035822</v>
      </c>
      <c r="E5" t="n">
        <v>1.565307948926173e-05</v>
      </c>
      <c r="F5" t="n">
        <v>1.493562739115358</v>
      </c>
      <c r="G5" t="n">
        <v>191.1341939731917</v>
      </c>
      <c r="H5" t="n">
        <v>226.0704902998099</v>
      </c>
      <c r="I5" t="n">
        <v>289.760482787736</v>
      </c>
      <c r="J5" t="n">
        <v>299.3817308232692</v>
      </c>
      <c r="K5" t="n">
        <v>55.00000000000001</v>
      </c>
      <c r="L5" t="n">
        <v>57.49999999999999</v>
      </c>
      <c r="M5" t="n">
        <v>60</v>
      </c>
    </row>
    <row r="6">
      <c r="A6" t="inlineStr">
        <is>
          <t>Margen</t>
        </is>
      </c>
      <c r="B6" t="n">
        <v>44</v>
      </c>
      <c r="C6" t="n">
        <v>2.453954608861194</v>
      </c>
      <c r="D6" t="n">
        <v>16.20731700373077</v>
      </c>
      <c r="E6" t="n">
        <v>0.0001868499233892134</v>
      </c>
      <c r="F6" t="n">
        <v>0.02439557045165989</v>
      </c>
      <c r="G6" t="n">
        <v>4.863352090622836</v>
      </c>
      <c r="H6" t="n">
        <v>16.1287588007704</v>
      </c>
      <c r="I6" t="n">
        <v>75.32787944118013</v>
      </c>
      <c r="J6" t="n">
        <v>84.60228865150093</v>
      </c>
      <c r="K6" t="n">
        <v>90.90909090909091</v>
      </c>
      <c r="L6" t="n">
        <v>93.18181818181817</v>
      </c>
      <c r="M6" t="n">
        <v>95.45454545454545</v>
      </c>
    </row>
    <row r="7">
      <c r="A7" t="inlineStr">
        <is>
          <t>ROE</t>
        </is>
      </c>
      <c r="B7" t="n">
        <v>40</v>
      </c>
      <c r="C7" t="n">
        <v>6.381075047555005</v>
      </c>
      <c r="D7" t="n">
        <v>21.26857179053929</v>
      </c>
      <c r="E7" t="n">
        <v>0.0002504989442926843</v>
      </c>
      <c r="F7" t="n">
        <v>0.4402851229226404</v>
      </c>
      <c r="G7" t="n">
        <v>17.20573298283941</v>
      </c>
      <c r="H7" t="n">
        <v>31.07823539283709</v>
      </c>
      <c r="I7" t="n">
        <v>90.13094114246603</v>
      </c>
      <c r="J7" t="n">
        <v>126.0980373217691</v>
      </c>
      <c r="K7" t="n">
        <v>77.5</v>
      </c>
      <c r="L7" t="n">
        <v>85</v>
      </c>
      <c r="M7" t="n">
        <v>90</v>
      </c>
    </row>
    <row r="8">
      <c r="A8" t="inlineStr">
        <is>
          <t>Payout</t>
        </is>
      </c>
      <c r="B8" t="n">
        <v>38</v>
      </c>
      <c r="C8" t="n">
        <v>-1.748104930291518</v>
      </c>
      <c r="D8" t="n">
        <v>14.58262693243127</v>
      </c>
      <c r="E8" t="n">
        <v>3.802282814517792e-05</v>
      </c>
      <c r="F8" t="n">
        <v>0.006231271008044506</v>
      </c>
      <c r="G8" t="n">
        <v>6.459857910202293</v>
      </c>
      <c r="H8" t="n">
        <v>12.97729247402801</v>
      </c>
      <c r="I8" t="n">
        <v>61.79429263688</v>
      </c>
      <c r="J8" t="n">
        <v>85.19296682318715</v>
      </c>
      <c r="K8" t="n">
        <v>86.8421052631579</v>
      </c>
      <c r="L8" t="n">
        <v>92.10526315789474</v>
      </c>
      <c r="M8" t="n">
        <v>94.73684210526315</v>
      </c>
    </row>
    <row r="11">
      <c r="A11" t="inlineStr">
        <is>
          <t>OUTLIERS (&gt;P95 de su metrica) -- punch-list ordenado por |divergencia|, con ingenieria inversa</t>
        </is>
      </c>
    </row>
    <row r="12">
      <c r="A12" t="inlineStr">
        <is>
          <t>Ticker</t>
        </is>
      </c>
      <c r="B12" t="inlineStr">
        <is>
          <t>Metrica</t>
        </is>
      </c>
      <c r="C12" t="inlineStr">
        <is>
          <t>Investing</t>
        </is>
      </c>
      <c r="D12" t="inlineStr">
        <is>
          <t>EDGAR</t>
        </is>
      </c>
      <c r="E12" t="inlineStr">
        <is>
          <t>Diff %</t>
        </is>
      </c>
      <c r="F12" t="inlineStr">
        <is>
          <t>Extremo (&gt;P99)</t>
        </is>
      </c>
      <c r="G12" t="inlineStr">
        <is>
          <t>Insumo a revisar</t>
        </is>
      </c>
      <c r="H12" t="inlineStr">
        <is>
          <t>Insumo implicito (desde Investing)</t>
        </is>
      </c>
      <c r="I12" t="inlineStr">
        <is>
          <t>Insumo real EDGAR</t>
        </is>
      </c>
      <c r="J12" t="inlineStr">
        <is>
          <t>Diff insumo %</t>
        </is>
      </c>
      <c r="K12" t="inlineStr">
        <is>
          <t>Hipotesis</t>
        </is>
      </c>
    </row>
    <row r="13">
      <c r="A13" t="inlineStr">
        <is>
          <t>TRV</t>
        </is>
      </c>
      <c r="B13" t="inlineStr">
        <is>
          <t>CrecEPS</t>
        </is>
      </c>
      <c r="C13" t="n">
        <v>0.0529</v>
      </c>
      <c r="D13" t="n">
        <v>0.2112729356055094</v>
      </c>
      <c r="E13" t="n">
        <v>299.3817308232692</v>
      </c>
      <c r="F13" t="inlineStr">
        <is>
          <t>SI</t>
        </is>
      </c>
      <c r="G13" t="inlineStr">
        <is>
          <t>(no reconstruible: CrecEPS depende de 2 puntos temporales, metodologia de Investing distinta -- ver DIAGNOSTICO_INVESTING_vs_EDGAR.md)</t>
        </is>
      </c>
      <c r="K13" t="inlineStr">
        <is>
          <t>No se pudo reconstruir un insumo implicito (falta dato EDGAR base).</t>
        </is>
      </c>
    </row>
    <row r="14">
      <c r="A14" t="inlineStr">
        <is>
          <t>HON</t>
        </is>
      </c>
      <c r="B14" t="inlineStr">
        <is>
          <t>CrecEPS</t>
        </is>
      </c>
      <c r="C14" t="n">
        <v>0.0049</v>
      </c>
      <c r="D14" t="n">
        <v>0.0183608813392091</v>
      </c>
      <c r="E14" t="n">
        <v>274.7118640654919</v>
      </c>
      <c r="F14" t="inlineStr"/>
      <c r="G14" t="inlineStr">
        <is>
          <t>(no reconstruible: CrecEPS depende de 2 puntos temporales, metodologia de Investing distinta -- ver DIAGNOSTICO_INVESTING_vs_EDGAR.md)</t>
        </is>
      </c>
      <c r="K14" t="inlineStr">
        <is>
          <t>No se pudo reconstruir un insumo implicito (falta dato EDGAR base).</t>
        </is>
      </c>
    </row>
    <row r="15">
      <c r="A15" t="inlineStr">
        <is>
          <t>CL</t>
        </is>
      </c>
      <c r="B15" t="inlineStr">
        <is>
          <t>ROE</t>
        </is>
      </c>
      <c r="C15" t="n">
        <v>3.6358</v>
      </c>
      <c r="D15" t="n">
        <v>8.220472440944881</v>
      </c>
      <c r="E15" t="n">
        <v>126.0980373217691</v>
      </c>
      <c r="F15" t="inlineStr">
        <is>
          <t>SI</t>
        </is>
      </c>
      <c r="G15" t="inlineStr">
        <is>
          <t>Equity_Promedio implicito (via NetIncome_EDGAR / ROE_inv)</t>
        </is>
      </c>
      <c r="H15" t="n">
        <v>574289014.7972935</v>
      </c>
      <c r="I15" t="n">
        <v>254000000</v>
      </c>
      <c r="J15" t="n">
        <v>126.0980373217691</v>
      </c>
      <c r="K15" t="inlineStr">
        <is>
          <t>Equity_Promedio implicito (via NetIncome_EDGAR / ROE_inv) difiere +126.1% del valor real de EDGAR -- esa es la pieza concreta a revisar (¿item no recurrente? ¿tag XBRL equivocado? ¿periodo distinto?).</t>
        </is>
      </c>
    </row>
    <row r="16">
      <c r="A16" t="inlineStr">
        <is>
          <t>INTC</t>
        </is>
      </c>
      <c r="B16" t="inlineStr">
        <is>
          <t>EPS</t>
        </is>
      </c>
      <c r="C16" t="n">
        <v>-0.6732</v>
      </c>
      <c r="D16" t="n">
        <v>-0.06</v>
      </c>
      <c r="E16" t="n">
        <v>-91.08734402852049</v>
      </c>
      <c r="F16" t="inlineStr">
        <is>
          <t>SI</t>
        </is>
      </c>
      <c r="G16" t="inlineStr">
        <is>
          <t>NetIncome_TTM implicito (via EPS_inv * Shares_EDGAR)</t>
        </is>
      </c>
      <c r="H16" t="n">
        <v>-3421875600</v>
      </c>
      <c r="I16" t="n">
        <v>-3174000000</v>
      </c>
      <c r="J16" t="n">
        <v>7.809565217391304</v>
      </c>
      <c r="K16" t="inlineStr">
        <is>
          <t>NetIncome_TTM implicito (via EPS_inv * Shares_EDGAR): coincide razonablemente con EDGAR (+7.8%) -- la brecha del ratio probablemente es de ventana temporal (TTM vs FY) o redondeo, no un insumo distinto.</t>
        </is>
      </c>
    </row>
    <row r="17">
      <c r="A17" t="inlineStr">
        <is>
          <t>BAC</t>
        </is>
      </c>
      <c r="B17" t="inlineStr">
        <is>
          <t>Payout</t>
        </is>
      </c>
      <c r="C17" t="n">
        <v>0.3037</v>
      </c>
      <c r="D17" t="n">
        <v>0.04496895975798065</v>
      </c>
      <c r="E17" t="n">
        <v>-85.19296682318715</v>
      </c>
      <c r="F17" t="inlineStr">
        <is>
          <t>SI</t>
        </is>
      </c>
      <c r="G17" t="inlineStr">
        <is>
          <t>Dividendos_TTM implicito (via Payout_inv * NetIncome_EDGAR)</t>
        </is>
      </c>
      <c r="H17" t="n">
        <v>9637312100</v>
      </c>
      <c r="I17" t="n">
        <v>1427000000</v>
      </c>
      <c r="J17" t="n">
        <v>575.3547372109321</v>
      </c>
      <c r="K17" t="inlineStr">
        <is>
          <t>Dividendos_TTM implicito (via Payout_inv * NetIncome_EDGAR) difiere +575.4% del valor real de EDGAR -- esa es la pieza concreta a revisar (¿item no recurrente? ¿tag XBRL equivocado? ¿periodo distinto?).</t>
        </is>
      </c>
    </row>
    <row r="18">
      <c r="A18" t="inlineStr">
        <is>
          <t>WB</t>
        </is>
      </c>
      <c r="B18" t="inlineStr">
        <is>
          <t>Margen</t>
        </is>
      </c>
      <c r="C18" t="n">
        <v>0.2115</v>
      </c>
      <c r="D18" t="n">
        <v>0.3904338404979245</v>
      </c>
      <c r="E18" t="n">
        <v>84.60228865150093</v>
      </c>
      <c r="F18" t="inlineStr">
        <is>
          <t>SI</t>
        </is>
      </c>
      <c r="G18" t="inlineStr">
        <is>
          <t>NetIncome_TTM implicito (via Margen_inv * Revenue_TTM_EDGAR)</t>
        </is>
      </c>
      <c r="H18" t="n">
        <v>243236421</v>
      </c>
      <c r="I18" t="n">
        <v>449020000</v>
      </c>
      <c r="J18" t="n">
        <v>-45.8294906685671</v>
      </c>
      <c r="K18" t="inlineStr">
        <is>
          <t>NetIncome_TTM implicito (via Margen_inv * Revenue_TTM_EDGAR) difiere -45.8% del valor real de EDGAR -- esa es la pieza concreta a revisar (¿item no recurrente? ¿tag XBRL equivocado? ¿periodo distinto?).</t>
        </is>
      </c>
    </row>
    <row r="19">
      <c r="A19" t="inlineStr">
        <is>
          <t>MMM</t>
        </is>
      </c>
      <c r="B19" t="inlineStr">
        <is>
          <t>EPS</t>
        </is>
      </c>
      <c r="C19" t="n">
        <v>32.32</v>
      </c>
      <c r="D19" t="n">
        <v>6</v>
      </c>
      <c r="E19" t="n">
        <v>-81.43564356435643</v>
      </c>
      <c r="F19" t="inlineStr"/>
      <c r="G19" t="inlineStr">
        <is>
          <t>NetIncome_TTM implicito (via EPS_inv * Shares_EDGAR)</t>
        </is>
      </c>
      <c r="H19" t="n">
        <v>17220096000</v>
      </c>
      <c r="I19" t="n">
        <v>2787000000</v>
      </c>
      <c r="J19" t="n">
        <v>517.8721205597417</v>
      </c>
      <c r="K19" t="inlineStr">
        <is>
          <t>NetIncome_TTM implicito (via EPS_inv * Shares_EDGAR) difiere +517.9% del valor real de EDGAR -- esa es la pieza concreta a revisar (¿item no recurrente? ¿tag XBRL equivocado? ¿periodo distinto?).</t>
        </is>
      </c>
    </row>
    <row r="20">
      <c r="A20" t="inlineStr">
        <is>
          <t>AXP</t>
        </is>
      </c>
      <c r="B20" t="inlineStr">
        <is>
          <t>Margen</t>
        </is>
      </c>
      <c r="C20" t="n">
        <v>0.1631</v>
      </c>
      <c r="D20" t="n">
        <v>0.2659082829719161</v>
      </c>
      <c r="E20" t="n">
        <v>63.03389513912698</v>
      </c>
      <c r="F20" t="inlineStr"/>
      <c r="G20" t="inlineStr">
        <is>
          <t>NetIncome_TTM implicito (via Margen_inv * Revenue_TTM_EDGAR)</t>
        </is>
      </c>
      <c r="H20" t="n">
        <v>6882004500</v>
      </c>
      <c r="I20" t="n">
        <v>11220000000</v>
      </c>
      <c r="J20" t="n">
        <v>-38.6630614973262</v>
      </c>
      <c r="K20" t="inlineStr">
        <is>
          <t>NetIncome_TTM implicito (via Margen_inv * Revenue_TTM_EDGAR) difiere -38.7% del valor real de EDGAR -- esa es la pieza concreta a revisar (¿item no recurrente? ¿tag XBRL equivocado? ¿periodo distinto?).</t>
        </is>
      </c>
    </row>
    <row r="21">
      <c r="A21" t="inlineStr">
        <is>
          <t>XRX</t>
        </is>
      </c>
      <c r="B21" t="inlineStr">
        <is>
          <t>ROE</t>
        </is>
      </c>
      <c r="C21" t="n">
        <v>-1.1536</v>
      </c>
      <c r="D21" t="n">
        <v>-1.544378698224852</v>
      </c>
      <c r="E21" t="n">
        <v>33.87471378509466</v>
      </c>
      <c r="F21" t="inlineStr"/>
      <c r="G21" t="inlineStr">
        <is>
          <t>Equity_Promedio implicito (via NetIncome_EDGAR / ROE_inv)</t>
        </is>
      </c>
      <c r="H21" t="n">
        <v>904993065.18724</v>
      </c>
      <c r="I21" t="n">
        <v>676000000</v>
      </c>
      <c r="J21" t="n">
        <v>33.87471378509467</v>
      </c>
      <c r="K21" t="inlineStr">
        <is>
          <t>Equity_Promedio implicito (via NetIncome_EDGAR / ROE_inv) difiere +33.9% del valor real de EDGAR -- esa es la pieza concreta a revisar (¿item no recurrente? ¿tag XBRL equivocado? ¿periodo distinto?).</t>
        </is>
      </c>
    </row>
    <row r="22">
      <c r="A22" t="inlineStr">
        <is>
          <t>JNJ</t>
        </is>
      </c>
      <c r="B22" t="inlineStr">
        <is>
          <t>EPS</t>
        </is>
      </c>
      <c r="C22" t="n">
        <v>8.635400000000001</v>
      </c>
      <c r="D22" t="n">
        <v>11.03</v>
      </c>
      <c r="E22" t="n">
        <v>27.73004145725732</v>
      </c>
      <c r="F22" t="inlineStr"/>
      <c r="G22" t="inlineStr">
        <is>
          <t>NetIncome_TTM implicito (via EPS_inv * Shares_EDGAR)</t>
        </is>
      </c>
      <c r="H22" t="n">
        <v>21115280080</v>
      </c>
      <c r="I22" t="n">
        <v>21040000000</v>
      </c>
      <c r="J22" t="n">
        <v>0.3577950570342205</v>
      </c>
      <c r="K22" t="inlineStr">
        <is>
          <t>NetIncome_TTM implicito (via EPS_inv * Shares_EDGAR): coincide razonablemente con EDGAR (+0.4%) -- la brecha del ratio probablemente es de ventana temporal (TTM vs FY) o redondeo, no un insumo distinto.</t>
        </is>
      </c>
    </row>
    <row r="23">
      <c r="A23" t="inlineStr">
        <is>
          <t>HWM</t>
        </is>
      </c>
      <c r="B23" t="inlineStr">
        <is>
          <t>Payout</t>
        </is>
      </c>
      <c r="C23" t="n">
        <v>0.1072</v>
      </c>
      <c r="D23" t="n">
        <v>0.1307339449541284</v>
      </c>
      <c r="E23" t="n">
        <v>21.95330686019443</v>
      </c>
      <c r="F23" t="inlineStr"/>
      <c r="G23" t="inlineStr">
        <is>
          <t>Dividendos_TTM implicito (via Payout_inv * NetIncome_EDGAR)</t>
        </is>
      </c>
      <c r="H23" t="n">
        <v>186956800</v>
      </c>
      <c r="I23" t="n">
        <v>228000000</v>
      </c>
      <c r="J23" t="n">
        <v>-18.00140350877193</v>
      </c>
      <c r="K23" t="inlineStr">
        <is>
          <t>Dividendos_TTM implicito (via Payout_inv * NetIncome_EDGAR) difiere -18.0% del valor real de EDGAR -- esa es la pieza concreta a revisar (¿item no recurrente? ¿tag XBRL equivocado? ¿periodo distinto?).</t>
        </is>
      </c>
    </row>
    <row r="24">
      <c r="A24" t="inlineStr">
        <is>
          <t>WB</t>
        </is>
      </c>
      <c r="B24" t="inlineStr">
        <is>
          <t>PER</t>
        </is>
      </c>
      <c r="C24" t="n">
        <v>5.5</v>
      </c>
      <c r="D24" t="n">
        <v>4.360167453020465</v>
      </c>
      <c r="E24" t="n">
        <v>-20.72422812690063</v>
      </c>
      <c r="F24" t="inlineStr">
        <is>
          <t>SI</t>
        </is>
      </c>
      <c r="G24" t="inlineStr">
        <is>
          <t>NetIncome_TTM implicito (via EPS=Precio/PER_inv * Shares_EDGAR)</t>
        </is>
      </c>
      <c r="H24" t="n">
        <v>355964070.8645907</v>
      </c>
      <c r="I24" t="n">
        <v>449020000</v>
      </c>
      <c r="J24" t="n">
        <v>-20.72422812690065</v>
      </c>
      <c r="K24" t="inlineStr">
        <is>
          <t>NetIncome_TTM implicito (via EPS=Precio/PER_inv * Shares_EDGAR) difiere -20.7% del valor real de EDGAR -- esa es la pieza concreta a revisar (¿item no recurrente? ¿tag XBRL equivocado? ¿periodo distinto?).</t>
        </is>
      </c>
    </row>
    <row r="25">
      <c r="A25" t="inlineStr">
        <is>
          <t>KMB</t>
        </is>
      </c>
      <c r="B25" t="inlineStr">
        <is>
          <t>PER</t>
        </is>
      </c>
      <c r="C25" t="n">
        <v>20.8</v>
      </c>
      <c r="D25" t="n">
        <v>16.78265083460607</v>
      </c>
      <c r="E25" t="n">
        <v>-19.3141786797785</v>
      </c>
      <c r="F25" t="inlineStr"/>
      <c r="G25" t="inlineStr">
        <is>
          <t>NetIncome_TTM implicito (via EPS=Precio/PER_inv * Shares_EDGAR)</t>
        </is>
      </c>
      <c r="H25" t="n">
        <v>1709732553.775494</v>
      </c>
      <c r="I25" t="n">
        <v>2119000000</v>
      </c>
      <c r="J25" t="n">
        <v>-19.31417867977849</v>
      </c>
      <c r="K25" t="inlineStr">
        <is>
          <t>NetIncome_TTM implicito (via EPS=Precio/PER_inv * Shares_EDGAR) difiere -19.3% del valor real de EDGAR -- esa es la pieza concreta a revisar (¿item no recurrente? ¿tag XBRL equivocado? ¿periodo distinto?).</t>
        </is>
      </c>
    </row>
    <row r="26">
      <c r="A26" t="inlineStr">
        <is>
          <t>C</t>
        </is>
      </c>
      <c r="B26" t="inlineStr">
        <is>
          <t>Margen</t>
        </is>
      </c>
      <c r="C26" t="n">
        <v>0.2036</v>
      </c>
      <c r="D26" t="n">
        <v>0.1678615429744793</v>
      </c>
      <c r="E26" t="n">
        <v>-17.55326965890013</v>
      </c>
      <c r="F26" t="inlineStr"/>
      <c r="G26" t="inlineStr">
        <is>
          <t>NetIncome_TTM implicito (via Margen_inv * Revenue_TTM_EDGAR)</t>
        </is>
      </c>
      <c r="H26" t="n">
        <v>17351810000</v>
      </c>
      <c r="I26" t="n">
        <v>14306000000</v>
      </c>
      <c r="J26" t="n">
        <v>21.29043757863833</v>
      </c>
      <c r="K26" t="inlineStr">
        <is>
          <t>NetIncome_TTM implicito (via Margen_inv * Revenue_TTM_EDGAR) difiere +21.3% del valor real de EDGAR -- esa es la pieza concreta a revisar (¿item no recurrente? ¿tag XBRL equivocado? ¿periodo distinto?).</t>
        </is>
      </c>
    </row>
    <row r="27">
      <c r="A27" t="inlineStr">
        <is>
          <t>BG</t>
        </is>
      </c>
      <c r="B27" t="inlineStr">
        <is>
          <t>PER</t>
        </is>
      </c>
      <c r="C27" t="n">
        <v>28.42</v>
      </c>
      <c r="D27" t="n">
        <v>31.23427778948431</v>
      </c>
      <c r="E27" t="n">
        <v>9.902455276158706</v>
      </c>
      <c r="F27" t="inlineStr"/>
      <c r="G27" t="inlineStr">
        <is>
          <t>NetIncome_TTM implicito (via EPS=Precio/PER_inv * Shares_EDGAR)</t>
        </is>
      </c>
      <c r="H27" t="n">
        <v>750633769.5361639</v>
      </c>
      <c r="I27" t="n">
        <v>683000000</v>
      </c>
      <c r="J27" t="n">
        <v>9.902455276158701</v>
      </c>
      <c r="K27" t="inlineStr">
        <is>
          <t>NetIncome_TTM implicito (via EPS=Precio/PER_inv * Shares_EDGAR): coincide razonablemente con EDGAR (+9.9%) -- la brecha del ratio probablemente es de ventana temporal (TTM vs FY) o redondeo, no un insumo distinto.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2026-05-23T11:30:26Z</dcterms:created>
  <dcterms:modified xmlns:dcterms="http://purl.org/dc/terms/" xmlns:xsi="http://www.w3.org/2001/XMLSchema-instance" xsi:type="dcterms:W3CDTF">2026-06-25T19:17:38Z</dcterms:modified>
  <cp:lastModifiedBy>Monfasani Federico Cesar</cp:lastModifiedBy>
</cp:coreProperties>
</file>